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Cognizant Reporting Analyst Project\"/>
    </mc:Choice>
  </mc:AlternateContent>
  <xr:revisionPtr revIDLastSave="0" documentId="13_ncr:1_{F3A98F2D-A385-47B8-AB3A-C617B625A1A6}" xr6:coauthVersionLast="47" xr6:coauthVersionMax="47" xr10:uidLastSave="{00000000-0000-0000-0000-000000000000}"/>
  <bookViews>
    <workbookView xWindow="0" yWindow="0" windowWidth="19200" windowHeight="10080" activeTab="1" xr2:uid="{00000000-000D-0000-FFFF-FFFF00000000}"/>
  </bookViews>
  <sheets>
    <sheet name="Raw_Tickets" sheetId="1" r:id="rId1"/>
    <sheet name="Table1" sheetId="2" r:id="rId2"/>
    <sheet name="Escalations" sheetId="10" r:id="rId3"/>
    <sheet name="Customer Satisfaction" sheetId="9" r:id="rId4"/>
    <sheet name="Regional Performance" sheetId="8" r:id="rId5"/>
    <sheet name="Department Performance" sheetId="7" r:id="rId6"/>
    <sheet name="Agent Performance" sheetId="6" r:id="rId7"/>
    <sheet name="Pt_Ticket_Status" sheetId="3" r:id="rId8"/>
    <sheet name="pt_SLA_Status" sheetId="4" r:id="rId9"/>
    <sheet name="pt_Monthly_Tickets" sheetId="5" r:id="rId10"/>
    <sheet name="Customer Support KPI Summary" sheetId="12" r:id="rId11"/>
  </sheets>
  <definedNames>
    <definedName name="_xlcn.WorksheetConnection_02_Cognizant_cleaning_workingcopy.xlsxTable1_2" hidden="1">Table1_2[]</definedName>
    <definedName name="ExternalData_1" localSheetId="1" hidden="1">Table1!$A$1:$U$151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</pivotCaches>
  <extLst>
    <ext xmlns:x15="http://schemas.microsoft.com/office/spreadsheetml/2010/11/main" uri="{FCE2AD5D-F65C-4FA6-A056-5C36A1767C68}">
      <x15:dataModel>
        <x15:modelTables>
          <x15:modelTable id="Table1_4ccf9939-24ad-4774-984c-d535c20a7a28" name="Table1" connection="Query - Table1"/>
          <x15:modelTable id="Table1_2" name="Table1_2" connection="WorksheetConnection_02_Cognizant_cleaning_working -copy.xlsx!Table1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2" l="1"/>
  <c r="B6" i="12"/>
  <c r="B5" i="12"/>
  <c r="B4" i="12"/>
  <c r="B3" i="12"/>
  <c r="B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AB0BE6-8F55-4EAA-B447-D6165600B5F3}" keepAlive="1" name="ModelConnection_ExternalData_1" description="Data Model" type="5" refreshedVersion="7" minRefreshableVersion="5" saveData="1">
    <dbPr connection="Data Model Connection" command="Tabl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1EA0736-A896-48EA-8066-59CC97111920}" name="Query - Table1" description="Connection to the 'Table1' query in the workbook." type="100" refreshedVersion="7" minRefreshableVersion="5">
    <extLst>
      <ext xmlns:x15="http://schemas.microsoft.com/office/spreadsheetml/2010/11/main" uri="{DE250136-89BD-433C-8126-D09CA5730AF9}">
        <x15:connection id="91490f2e-8a4b-49bf-9b65-0b0c3e3e7440"/>
      </ext>
    </extLst>
  </connection>
  <connection id="3" xr16:uid="{0C7971E4-CA73-4FD3-B05D-4117CA96B9AD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105D4D7F-2647-4788-8F77-C02309B768EE}" name="WorksheetConnection_02_Cognizant_cleaning_working -copy.xlsx!Table1_2" type="102" refreshedVersion="7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02_Cognizant_cleaning_workingcopy.xlsxTable1_2"/>
        </x15:connection>
      </ext>
    </extLst>
  </connection>
</connections>
</file>

<file path=xl/sharedStrings.xml><?xml version="1.0" encoding="utf-8"?>
<sst xmlns="http://schemas.openxmlformats.org/spreadsheetml/2006/main" count="3549" uniqueCount="302">
  <si>
    <t>Ticket_ID</t>
  </si>
  <si>
    <t>Customer_ID</t>
  </si>
  <si>
    <t>Agent</t>
  </si>
  <si>
    <t>Department</t>
  </si>
  <si>
    <t>Region</t>
  </si>
  <si>
    <t>Ticket_Date</t>
  </si>
  <si>
    <t>Resolution_Date</t>
  </si>
  <si>
    <t>Priority</t>
  </si>
  <si>
    <t>Issue_Type</t>
  </si>
  <si>
    <t>Status</t>
  </si>
  <si>
    <t>Resolution_Hours</t>
  </si>
  <si>
    <t>SLA_Target_Hours</t>
  </si>
  <si>
    <t>Customer_Rating</t>
  </si>
  <si>
    <t>Escalated</t>
  </si>
  <si>
    <t>Channel</t>
  </si>
  <si>
    <t>TKT0001</t>
  </si>
  <si>
    <t>CUST1041</t>
  </si>
  <si>
    <t>Aisha Khan</t>
  </si>
  <si>
    <t>Technical Support</t>
  </si>
  <si>
    <t>East</t>
  </si>
  <si>
    <t>Medium</t>
  </si>
  <si>
    <t>Refund Request</t>
  </si>
  <si>
    <t>Resolved</t>
  </si>
  <si>
    <t>No</t>
  </si>
  <si>
    <t>Web</t>
  </si>
  <si>
    <t>TKT0002</t>
  </si>
  <si>
    <t>CUST1003</t>
  </si>
  <si>
    <t>South</t>
  </si>
  <si>
    <t xml:space="preserve">Medium </t>
  </si>
  <si>
    <t>Login Issue</t>
  </si>
  <si>
    <t>Open</t>
  </si>
  <si>
    <t>TKT0003</t>
  </si>
  <si>
    <t>CUST1029</t>
  </si>
  <si>
    <t>Neha Sharma</t>
  </si>
  <si>
    <t>Customer Service</t>
  </si>
  <si>
    <t>North</t>
  </si>
  <si>
    <t>Low</t>
  </si>
  <si>
    <t>Account Update</t>
  </si>
  <si>
    <t>Yes</t>
  </si>
  <si>
    <t>Phone</t>
  </si>
  <si>
    <t>TKT0004</t>
  </si>
  <si>
    <t>CUST1006</t>
  </si>
  <si>
    <t>Vikram Singh</t>
  </si>
  <si>
    <t>login issue</t>
  </si>
  <si>
    <t>email</t>
  </si>
  <si>
    <t>TKT0005</t>
  </si>
  <si>
    <t>south</t>
  </si>
  <si>
    <t>Email</t>
  </si>
  <si>
    <t>TKT0006</t>
  </si>
  <si>
    <t>Rahul Patil</t>
  </si>
  <si>
    <t>West</t>
  </si>
  <si>
    <t>Payment Failure</t>
  </si>
  <si>
    <t>Pending</t>
  </si>
  <si>
    <t>Chat</t>
  </si>
  <si>
    <t>TKT0007</t>
  </si>
  <si>
    <t>CUST1045</t>
  </si>
  <si>
    <t>Arjun Mehta</t>
  </si>
  <si>
    <t>TKT0008</t>
  </si>
  <si>
    <t>CUST1018</t>
  </si>
  <si>
    <t xml:space="preserve">Billing </t>
  </si>
  <si>
    <t>High</t>
  </si>
  <si>
    <t>TKT0009</t>
  </si>
  <si>
    <t>CUST1014</t>
  </si>
  <si>
    <t>high</t>
  </si>
  <si>
    <t>resolved</t>
  </si>
  <si>
    <t>TKT0010</t>
  </si>
  <si>
    <t>CUST1048</t>
  </si>
  <si>
    <t>Technical Error</t>
  </si>
  <si>
    <t>Password Reset</t>
  </si>
  <si>
    <t>TKT0012</t>
  </si>
  <si>
    <t>CUST1034</t>
  </si>
  <si>
    <t>Sneha Rao</t>
  </si>
  <si>
    <t>TKT0013</t>
  </si>
  <si>
    <t>CUST1028</t>
  </si>
  <si>
    <t>Technical support</t>
  </si>
  <si>
    <t>TKT0014</t>
  </si>
  <si>
    <t>CUST1010</t>
  </si>
  <si>
    <t>Billing</t>
  </si>
  <si>
    <t>TKT0015</t>
  </si>
  <si>
    <t>CUST1016</t>
  </si>
  <si>
    <t>TKT0016</t>
  </si>
  <si>
    <t>CUST1036</t>
  </si>
  <si>
    <t>TKT0017</t>
  </si>
  <si>
    <t>TKT0018</t>
  </si>
  <si>
    <t>CUST1001</t>
  </si>
  <si>
    <t>TKT0019</t>
  </si>
  <si>
    <t>CUST1035</t>
  </si>
  <si>
    <t>TKT0020</t>
  </si>
  <si>
    <t>CUST1023</t>
  </si>
  <si>
    <t>TKT0021</t>
  </si>
  <si>
    <t>CUST1013</t>
  </si>
  <si>
    <t>TKT0022</t>
  </si>
  <si>
    <t>CUST1004</t>
  </si>
  <si>
    <t>TKT0023</t>
  </si>
  <si>
    <t>CUST1058</t>
  </si>
  <si>
    <t>TKT0024</t>
  </si>
  <si>
    <t>TKT0025</t>
  </si>
  <si>
    <t>CUST1033</t>
  </si>
  <si>
    <t>TKT0026</t>
  </si>
  <si>
    <t>CUST1038</t>
  </si>
  <si>
    <t xml:space="preserve">  Neha Sharma  </t>
  </si>
  <si>
    <t>TKT0027</t>
  </si>
  <si>
    <t>TKT0028</t>
  </si>
  <si>
    <t>CUST1040</t>
  </si>
  <si>
    <t>TKT0029</t>
  </si>
  <si>
    <t>CUST1024</t>
  </si>
  <si>
    <t>TKT0030</t>
  </si>
  <si>
    <t>CUST1057</t>
  </si>
  <si>
    <t>TKT0031</t>
  </si>
  <si>
    <t>TKT0032</t>
  </si>
  <si>
    <t>CUST1050</t>
  </si>
  <si>
    <t>TKT0033</t>
  </si>
  <si>
    <t>TKT0034</t>
  </si>
  <si>
    <t>TKT0035</t>
  </si>
  <si>
    <t>CUST1052</t>
  </si>
  <si>
    <t>TKT0036</t>
  </si>
  <si>
    <t>CUST1025</t>
  </si>
  <si>
    <t>TKT0037</t>
  </si>
  <si>
    <t>CUST1026</t>
  </si>
  <si>
    <t>TKT0038</t>
  </si>
  <si>
    <t>CUST1012</t>
  </si>
  <si>
    <t>TKT0039</t>
  </si>
  <si>
    <t>TKT0040</t>
  </si>
  <si>
    <t>CUST1043</t>
  </si>
  <si>
    <t>TKT0041</t>
  </si>
  <si>
    <t>TKT0042</t>
  </si>
  <si>
    <t>TKT0043</t>
  </si>
  <si>
    <t>CUST1044</t>
  </si>
  <si>
    <t>TKT0044</t>
  </si>
  <si>
    <t>CUST1015</t>
  </si>
  <si>
    <t>TKT0045</t>
  </si>
  <si>
    <t>CUST1046</t>
  </si>
  <si>
    <t>TKT0046</t>
  </si>
  <si>
    <t>TKT0047</t>
  </si>
  <si>
    <t>TKT0048</t>
  </si>
  <si>
    <t>TKT0049</t>
  </si>
  <si>
    <t>CUST1022</t>
  </si>
  <si>
    <t>TKT0050</t>
  </si>
  <si>
    <t>CUST1027</t>
  </si>
  <si>
    <t>TKT0051</t>
  </si>
  <si>
    <t>CUST1055</t>
  </si>
  <si>
    <t>TKT0052</t>
  </si>
  <si>
    <t>CUST1032</t>
  </si>
  <si>
    <t>TKT0053</t>
  </si>
  <si>
    <t>CUST1059</t>
  </si>
  <si>
    <t>TKT0054</t>
  </si>
  <si>
    <t>CUST1017</t>
  </si>
  <si>
    <t>TKT0055</t>
  </si>
  <si>
    <t>CUST1031</t>
  </si>
  <si>
    <t>TKT0056</t>
  </si>
  <si>
    <t>TKT0057</t>
  </si>
  <si>
    <t>TKT0058</t>
  </si>
  <si>
    <t>CUST1007</t>
  </si>
  <si>
    <t>TKT0059</t>
  </si>
  <si>
    <t>TKT0060</t>
  </si>
  <si>
    <t>TKT0061</t>
  </si>
  <si>
    <t>TKT0062</t>
  </si>
  <si>
    <t>TKT0063</t>
  </si>
  <si>
    <t>TKT0064</t>
  </si>
  <si>
    <t>TKT0065</t>
  </si>
  <si>
    <t>TKT0066</t>
  </si>
  <si>
    <t>TKT0067</t>
  </si>
  <si>
    <t>TKT0068</t>
  </si>
  <si>
    <t>CUST1056</t>
  </si>
  <si>
    <t>TKT0069</t>
  </si>
  <si>
    <t>CUST1008</t>
  </si>
  <si>
    <t>TKT0070</t>
  </si>
  <si>
    <t>TKT0071</t>
  </si>
  <si>
    <t>CUST1020</t>
  </si>
  <si>
    <t>TKT0072</t>
  </si>
  <si>
    <t>TKT0073</t>
  </si>
  <si>
    <t>TKT0074</t>
  </si>
  <si>
    <t>CUST1042</t>
  </si>
  <si>
    <t>TKT0075</t>
  </si>
  <si>
    <t>TKT0076</t>
  </si>
  <si>
    <t>TKT0077</t>
  </si>
  <si>
    <t>CUST1049</t>
  </si>
  <si>
    <t>TKT0078</t>
  </si>
  <si>
    <t>TKT0079</t>
  </si>
  <si>
    <t>CUST1030</t>
  </si>
  <si>
    <t>Cust Service</t>
  </si>
  <si>
    <t>TKT0080</t>
  </si>
  <si>
    <t>TKT0081</t>
  </si>
  <si>
    <t>CUST1060</t>
  </si>
  <si>
    <t>TKT0082</t>
  </si>
  <si>
    <t>TKT0083</t>
  </si>
  <si>
    <t>TKT0084</t>
  </si>
  <si>
    <t>TKT0085</t>
  </si>
  <si>
    <t>TKT0086</t>
  </si>
  <si>
    <t>TKT0087</t>
  </si>
  <si>
    <t>TKT0088</t>
  </si>
  <si>
    <t>CUST1047</t>
  </si>
  <si>
    <t>TKT0089</t>
  </si>
  <si>
    <t>CUST1021</t>
  </si>
  <si>
    <t>TKT0090</t>
  </si>
  <si>
    <t>TKT0091</t>
  </si>
  <si>
    <t>TKT0092</t>
  </si>
  <si>
    <t>TKT0093</t>
  </si>
  <si>
    <t>TKT0094</t>
  </si>
  <si>
    <t>TKT0095</t>
  </si>
  <si>
    <t>CUST1002</t>
  </si>
  <si>
    <t>TKT0096</t>
  </si>
  <si>
    <t>TKT0097</t>
  </si>
  <si>
    <t>TKT0098</t>
  </si>
  <si>
    <t>CUST1054</t>
  </si>
  <si>
    <t>TKT0099</t>
  </si>
  <si>
    <t>TKT0100</t>
  </si>
  <si>
    <t>TKT0101</t>
  </si>
  <si>
    <t>TKT0102</t>
  </si>
  <si>
    <t>TKT0103</t>
  </si>
  <si>
    <t>TKT0104</t>
  </si>
  <si>
    <t>TKT0105</t>
  </si>
  <si>
    <t>TKT0106</t>
  </si>
  <si>
    <t>TKT0107</t>
  </si>
  <si>
    <t>CUST1009</t>
  </si>
  <si>
    <t>TKT0108</t>
  </si>
  <si>
    <t>TKT0109</t>
  </si>
  <si>
    <t>TKT0110</t>
  </si>
  <si>
    <t>TKT0111</t>
  </si>
  <si>
    <t>TKT0112</t>
  </si>
  <si>
    <t>TKT0113</t>
  </si>
  <si>
    <t>TKT0114</t>
  </si>
  <si>
    <t>TKT0115</t>
  </si>
  <si>
    <t>TKT0116</t>
  </si>
  <si>
    <t>TKT0117</t>
  </si>
  <si>
    <t>TKT0118</t>
  </si>
  <si>
    <t>TKT0119</t>
  </si>
  <si>
    <t>Closed</t>
  </si>
  <si>
    <t>TKT0120</t>
  </si>
  <si>
    <t>TKT0121</t>
  </si>
  <si>
    <t>TKT0122</t>
  </si>
  <si>
    <t>TKT0123</t>
  </si>
  <si>
    <t>TKT0124</t>
  </si>
  <si>
    <t>TKT0125</t>
  </si>
  <si>
    <t>TKT0126</t>
  </si>
  <si>
    <t>TKT0127</t>
  </si>
  <si>
    <t>TKT0128</t>
  </si>
  <si>
    <t>TKT0129</t>
  </si>
  <si>
    <t>CUST1005</t>
  </si>
  <si>
    <t>TKT0130</t>
  </si>
  <si>
    <t>TKT0131</t>
  </si>
  <si>
    <t>TKT0132</t>
  </si>
  <si>
    <t>TKT0133</t>
  </si>
  <si>
    <t>TKT0134</t>
  </si>
  <si>
    <t>CUST1019</t>
  </si>
  <si>
    <t>TKT0135</t>
  </si>
  <si>
    <t>TKT0136</t>
  </si>
  <si>
    <t>TKT0137</t>
  </si>
  <si>
    <t>TKT0138</t>
  </si>
  <si>
    <t>TKT0139</t>
  </si>
  <si>
    <t>TKT0140</t>
  </si>
  <si>
    <t>TKT0142</t>
  </si>
  <si>
    <t>TKT0143</t>
  </si>
  <si>
    <t>TKT0144</t>
  </si>
  <si>
    <t>CUST1051</t>
  </si>
  <si>
    <t>TKT0145</t>
  </si>
  <si>
    <t>TKT0146</t>
  </si>
  <si>
    <t xml:space="preserve"> Password Reset </t>
  </si>
  <si>
    <t>TKT0147</t>
  </si>
  <si>
    <t>TKT0148</t>
  </si>
  <si>
    <t>TKT0149</t>
  </si>
  <si>
    <t>TKT0150</t>
  </si>
  <si>
    <t>Data_Quality_Flag</t>
  </si>
  <si>
    <t>SLA_Status</t>
  </si>
  <si>
    <t>Ticket_Date_only</t>
  </si>
  <si>
    <t>Ticket_Year</t>
  </si>
  <si>
    <t>Ticket_Month_Number</t>
  </si>
  <si>
    <t>Ticket_Month_ Name</t>
  </si>
  <si>
    <t>Valid</t>
  </si>
  <si>
    <t>Not Resolved</t>
  </si>
  <si>
    <t>March</t>
  </si>
  <si>
    <t>February</t>
  </si>
  <si>
    <t>June</t>
  </si>
  <si>
    <t>May</t>
  </si>
  <si>
    <t>January</t>
  </si>
  <si>
    <t>April</t>
  </si>
  <si>
    <t>Missing Resolution Date - Review</t>
  </si>
  <si>
    <t>Data Issue</t>
  </si>
  <si>
    <t>Missing Customer ID - Review</t>
  </si>
  <si>
    <t>Missing Resolution Hours - Review</t>
  </si>
  <si>
    <t>Missing Ticket ID - Review</t>
  </si>
  <si>
    <t>SLA Met</t>
  </si>
  <si>
    <t>SLA Breached</t>
  </si>
  <si>
    <t>Unknown</t>
  </si>
  <si>
    <t>Grand Total</t>
  </si>
  <si>
    <t>Count of Ticket_ID</t>
  </si>
  <si>
    <t>Count of SLA_Status</t>
  </si>
  <si>
    <t>Count of Status</t>
  </si>
  <si>
    <t>Column Labels</t>
  </si>
  <si>
    <t>Average of Resolution_Hours</t>
  </si>
  <si>
    <t>Average of Customer_Rating</t>
  </si>
  <si>
    <t>Ticket_Month_Name</t>
  </si>
  <si>
    <t>Count of Customer_Rating</t>
  </si>
  <si>
    <t>Count of Escalated</t>
  </si>
  <si>
    <t>Escalation</t>
  </si>
  <si>
    <t>Customer Support KPI Summary</t>
  </si>
  <si>
    <t>Total Tickets</t>
  </si>
  <si>
    <t>Resolved Tickets</t>
  </si>
  <si>
    <t>SLA Compliance</t>
  </si>
  <si>
    <t>Average Resolution Hours</t>
  </si>
  <si>
    <t>Average Customer Rating</t>
  </si>
  <si>
    <t>Escalation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</si>
</sst>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8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45.176542939815" backgroundQuery="1" createdVersion="7" refreshedVersion="7" minRefreshableVersion="3" recordCount="0" supportSubquery="1" supportAdvancedDrill="1" xr:uid="{47386618-442A-4586-9E9B-33AEE93ED13B}">
  <cacheSource type="external" connectionId="3"/>
  <cacheFields count="4">
    <cacheField name="[Table1_2].[Region].[Region]" caption="Region" numFmtId="0" hierarchy="25" level="1">
      <sharedItems count="5">
        <s v="East"/>
        <s v="North"/>
        <s v="South"/>
        <s v="Unknown"/>
        <s v="West"/>
      </sharedItems>
    </cacheField>
    <cacheField name="[Measures].[Count of Status]" caption="Count of Status" numFmtId="0" hierarchy="47" level="32767"/>
    <cacheField name="[Measures].[Average of Resolution_Hours]" caption="Average of Resolution_Hours" numFmtId="0" hierarchy="49" level="32767"/>
    <cacheField name="[Measures].[Average of Customer_Rating]" caption="Average of Customer_Rating" numFmtId="0" hierarchy="51" level="32767"/>
  </cacheFields>
  <cacheHierarchies count="54">
    <cacheHierarchy uniqueName="[Table1].[Ticket_ID]" caption="Ticket_ID" attribute="1" defaultMemberUniqueName="[Table1].[Ticket_ID].[All]" allUniqueName="[Table1].[Ticket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Agent]" caption="Agent" attribute="1" defaultMemberUniqueName="[Table1].[Agent].[All]" allUniqueName="[Table1].[Agent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Ticket_Date]" caption="Ticket_Date" attribute="1" time="1" defaultMemberUniqueName="[Table1].[Ticket_Date].[All]" allUniqueName="[Table1].[Ticket_Date].[All]" dimensionUniqueName="[Table1]" displayFolder="" count="0" memberValueDatatype="7" unbalanced="0"/>
    <cacheHierarchy uniqueName="[Table1].[Resolution_Date]" caption="Resolution_Date" attribute="1" time="1" defaultMemberUniqueName="[Table1].[Resolution_Date].[All]" allUniqueName="[Table1].[Resolution_Date].[All]" dimensionUniqueName="[Table1]" displayFolder="" count="0" memberValueDatatype="7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Issue_Type]" caption="Issue_Type" attribute="1" defaultMemberUniqueName="[Table1].[Issue_Type].[All]" allUniqueName="[Table1].[Issue_Type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solution_Hours]" caption="Resolution_Hours" attribute="1" defaultMemberUniqueName="[Table1].[Resolution_Hours].[All]" allUniqueName="[Table1].[Resolution_Hours].[All]" dimensionUniqueName="[Table1]" displayFolder="" count="0" memberValueDatatype="20" unbalanced="0"/>
    <cacheHierarchy uniqueName="[Table1].[SLA_Target_Hours]" caption="SLA_Target_Hours" attribute="1" defaultMemberUniqueName="[Table1].[SLA_Target_Hours].[All]" allUniqueName="[Table1].[SLA_Target_Hours].[All]" dimensionUniqueName="[Table1]" displayFolder="" count="0" memberValueDatatype="2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20" unbalanced="0"/>
    <cacheHierarchy uniqueName="[Table1].[Escalated]" caption="Escalated" attribute="1" defaultMemberUniqueName="[Table1].[Escalated].[All]" allUniqueName="[Table1].[Escalate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Data_Quality_Flag]" caption="Data_Quality_Flag" attribute="1" defaultMemberUniqueName="[Table1].[Data_Quality_Flag].[All]" allUniqueName="[Table1].[Data_Quality_Flag].[All]" dimensionUniqueName="[Table1]" displayFolder="" count="0" memberValueDatatype="130" unbalanced="0"/>
    <cacheHierarchy uniqueName="[Table1].[SLA_Status]" caption="SLA_Status" attribute="1" defaultMemberUniqueName="[Table1].[SLA_Status].[All]" allUniqueName="[Table1].[SLA_Status].[All]" dimensionUniqueName="[Table1]" displayFolder="" count="0" memberValueDatatype="130" unbalanced="0"/>
    <cacheHierarchy uniqueName="[Table1].[Ticket_Date_only]" caption="Ticket_Date_only" attribute="1" time="1" defaultMemberUniqueName="[Table1].[Ticket_Date_only].[All]" allUniqueName="[Table1].[Ticket_Date_only].[All]" dimensionUniqueName="[Table1]" displayFolder="" count="0" memberValueDatatype="7" unbalanced="0"/>
    <cacheHierarchy uniqueName="[Table1].[Ticket_Year]" caption="Ticket_Year" attribute="1" defaultMemberUniqueName="[Table1].[Ticket_Year].[All]" allUniqueName="[Table1].[Ticket_Year].[All]" dimensionUniqueName="[Table1]" displayFolder="" count="0" memberValueDatatype="20" unbalanced="0"/>
    <cacheHierarchy uniqueName="[Table1].[Ticket_Month_Number]" caption="Ticket_Month_Number" attribute="1" defaultMemberUniqueName="[Table1].[Ticket_Month_Number].[All]" allUniqueName="[Table1].[Ticket_Month_Number].[All]" dimensionUniqueName="[Table1]" displayFolder="" count="0" memberValueDatatype="20" unbalanced="0"/>
    <cacheHierarchy uniqueName="[Table1].[Ticket_Month_ Name]" caption="Ticket_Month_ Name" attribute="1" defaultMemberUniqueName="[Table1].[Ticket_Month_ Name].[All]" allUniqueName="[Table1].[Ticket_Month_ Name].[All]" dimensionUniqueName="[Table1]" displayFolder="" count="0" memberValueDatatype="130" unbalanced="0"/>
    <cacheHierarchy uniqueName="[Table1_2].[Ticket_ID]" caption="Ticket_ID" attribute="1" defaultMemberUniqueName="[Table1_2].[Ticket_ID].[All]" allUniqueName="[Table1_2].[Ticket_ID].[All]" dimensionUniqueName="[Table1_2]" displayFolder="" count="0" memberValueDatatype="130" unbalanced="0"/>
    <cacheHierarchy uniqueName="[Table1_2].[Customer_ID]" caption="Customer_ID" attribute="1" defaultMemberUniqueName="[Table1_2].[Customer_ID].[All]" allUniqueName="[Table1_2].[Customer_ID].[All]" dimensionUniqueName="[Table1_2]" displayFolder="" count="0" memberValueDatatype="130" unbalanced="0"/>
    <cacheHierarchy uniqueName="[Table1_2].[Agent]" caption="Agent" attribute="1" defaultMemberUniqueName="[Table1_2].[Agent].[All]" allUniqueName="[Table1_2].[Agent].[All]" dimensionUniqueName="[Table1_2]" displayFolder="" count="0" memberValueDatatype="130" unbalanced="0"/>
    <cacheHierarchy uniqueName="[Table1_2].[Department]" caption="Department" attribute="1" defaultMemberUniqueName="[Table1_2].[Department].[All]" allUniqueName="[Table1_2].[Department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Ticket_Date]" caption="Ticket_Date" attribute="1" time="1" defaultMemberUniqueName="[Table1_2].[Ticket_Date].[All]" allUniqueName="[Table1_2].[Ticket_Date].[All]" dimensionUniqueName="[Table1_2]" displayFolder="" count="0" memberValueDatatype="7" unbalanced="0"/>
    <cacheHierarchy uniqueName="[Table1_2].[Resolution_Date]" caption="Resolution_Date" attribute="1" time="1" defaultMemberUniqueName="[Table1_2].[Resolution_Date].[All]" allUniqueName="[Table1_2].[Resolution_Date].[All]" dimensionUniqueName="[Table1_2]" displayFolder="" count="0" memberValueDatatype="7" unbalanced="0"/>
    <cacheHierarchy uniqueName="[Table1_2].[Priority]" caption="Priority" attribute="1" defaultMemberUniqueName="[Table1_2].[Priority].[All]" allUniqueName="[Table1_2].[Priority].[All]" dimensionUniqueName="[Table1_2]" displayFolder="" count="0" memberValueDatatype="130" unbalanced="0"/>
    <cacheHierarchy uniqueName="[Table1_2].[Issue_Type]" caption="Issue_Type" attribute="1" defaultMemberUniqueName="[Table1_2].[Issue_Type].[All]" allUniqueName="[Table1_2].[Issue_Type].[All]" dimensionUniqueName="[Table1_2]" displayFolder="" count="0" memberValueDatatype="130" unbalanced="0"/>
    <cacheHierarchy uniqueName="[Table1_2].[Status]" caption="Status" attribute="1" defaultMemberUniqueName="[Table1_2].[Status].[All]" allUniqueName="[Table1_2].[Status].[All]" dimensionUniqueName="[Table1_2]" displayFolder="" count="0" memberValueDatatype="130" unbalanced="0"/>
    <cacheHierarchy uniqueName="[Table1_2].[Resolution_Hours]" caption="Resolution_Hours" attribute="1" defaultMemberUniqueName="[Table1_2].[Resolution_Hours].[All]" allUniqueName="[Table1_2].[Resolution_Hours].[All]" dimensionUniqueName="[Table1_2]" displayFolder="" count="0" memberValueDatatype="20" unbalanced="0"/>
    <cacheHierarchy uniqueName="[Table1_2].[SLA_Target_Hours]" caption="SLA_Target_Hours" attribute="1" defaultMemberUniqueName="[Table1_2].[SLA_Target_Hours].[All]" allUniqueName="[Table1_2].[SLA_Target_Hours].[All]" dimensionUniqueName="[Table1_2]" displayFolder="" count="0" memberValueDatatype="20" unbalanced="0"/>
    <cacheHierarchy uniqueName="[Table1_2].[Customer_Rating]" caption="Customer_Rating" attribute="1" defaultMemberUniqueName="[Table1_2].[Customer_Rating].[All]" allUniqueName="[Table1_2].[Customer_Rating].[All]" dimensionUniqueName="[Table1_2]" displayFolder="" count="0" memberValueDatatype="20" unbalanced="0"/>
    <cacheHierarchy uniqueName="[Table1_2].[Escalated]" caption="Escalated" attribute="1" defaultMemberUniqueName="[Table1_2].[Escalated].[All]" allUniqueName="[Table1_2].[Escalated].[All]" dimensionUniqueName="[Table1_2]" displayFolder="" count="0" memberValueDatatype="130" unbalanced="0"/>
    <cacheHierarchy uniqueName="[Table1_2].[Channel]" caption="Channel" attribute="1" defaultMemberUniqueName="[Table1_2].[Channel].[All]" allUniqueName="[Table1_2].[Channel].[All]" dimensionUniqueName="[Table1_2]" displayFolder="" count="0" memberValueDatatype="130" unbalanced="0"/>
    <cacheHierarchy uniqueName="[Table1_2].[Data_Quality_Flag]" caption="Data_Quality_Flag" attribute="1" defaultMemberUniqueName="[Table1_2].[Data_Quality_Flag].[All]" allUniqueName="[Table1_2].[Data_Quality_Flag].[All]" dimensionUniqueName="[Table1_2]" displayFolder="" count="0" memberValueDatatype="130" unbalanced="0"/>
    <cacheHierarchy uniqueName="[Table1_2].[SLA_Status]" caption="SLA_Status" attribute="1" defaultMemberUniqueName="[Table1_2].[SLA_Status].[All]" allUniqueName="[Table1_2].[SLA_Status].[All]" dimensionUniqueName="[Table1_2]" displayFolder="" count="0" memberValueDatatype="130" unbalanced="0"/>
    <cacheHierarchy uniqueName="[Table1_2].[Ticket_Date_only]" caption="Ticket_Date_only" attribute="1" time="1" defaultMemberUniqueName="[Table1_2].[Ticket_Date_only].[All]" allUniqueName="[Table1_2].[Ticket_Date_only].[All]" dimensionUniqueName="[Table1_2]" displayFolder="" count="0" memberValueDatatype="7" unbalanced="0"/>
    <cacheHierarchy uniqueName="[Table1_2].[Ticket_Year]" caption="Ticket_Year" attribute="1" defaultMemberUniqueName="[Table1_2].[Ticket_Year].[All]" allUniqueName="[Table1_2].[Ticket_Year].[All]" dimensionUniqueName="[Table1_2]" displayFolder="" count="0" memberValueDatatype="20" unbalanced="0"/>
    <cacheHierarchy uniqueName="[Table1_2].[Ticket_Month_Number]" caption="Ticket_Month_Number" attribute="1" defaultMemberUniqueName="[Table1_2].[Ticket_Month_Number].[All]" allUniqueName="[Table1_2].[Ticket_Month_Number].[All]" dimensionUniqueName="[Table1_2]" displayFolder="" count="0" memberValueDatatype="20" unbalanced="0"/>
    <cacheHierarchy uniqueName="[Table1_2].[Ticket_Month_ Name]" caption="Ticket_Month_ Name" attribute="1" defaultMemberUniqueName="[Table1_2].[Ticket_Month_ Name].[All]" allUniqueName="[Table1_2].[Ticket_Month_ Name].[All]" dimensionUniqueName="[Table1_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Count of Ticket_ID]" caption="Count of Ticket_ID" measure="1" displayFolder="" measureGroup="Table1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LA_Status]" caption="Count of SLA_Status" measure="1" displayFolder="" measureGroup="Table1_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Status]" caption="Count of Status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solution_Hours]" caption="Sum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solution_Hours]" caption="Average of Resolution_Hours" measure="1" displayFolder="" measureGroup="Table1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_Rating]" caption="Sum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ustomer_Rating]" caption="Average of Customer_Rating" measure="1" displayFolder="" measureGroup="Table1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_Rating]" caption="Count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Escalated]" caption="Count of Escalated" measure="1" displayFolder="" measureGroup="Table1_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2" uniqueName="[Table1_2]" caption="Table1_2"/>
  </dimensions>
  <measureGroups count="2">
    <measureGroup name="Table1" caption="Table1"/>
    <measureGroup name="Table1_2" caption="Table1_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45.172715277775" backgroundQuery="1" createdVersion="7" refreshedVersion="7" minRefreshableVersion="3" recordCount="0" supportSubquery="1" supportAdvancedDrill="1" xr:uid="{2AA86CC4-C00C-4B19-9AA5-693B97C4A65D}">
  <cacheSource type="external" connectionId="3"/>
  <cacheFields count="4">
    <cacheField name="[Measures].[Count of Status]" caption="Count of Status" numFmtId="0" hierarchy="47" level="32767"/>
    <cacheField name="[Measures].[Average of Resolution_Hours]" caption="Average of Resolution_Hours" numFmtId="0" hierarchy="49" level="32767"/>
    <cacheField name="[Measures].[Average of Customer_Rating]" caption="Average of Customer_Rating" numFmtId="0" hierarchy="51" level="32767"/>
    <cacheField name="[Table1_2].[Department].[Department]" caption="Department" numFmtId="0" hierarchy="24" level="1">
      <sharedItems count="3">
        <s v="Billing"/>
        <s v="Customer Service"/>
        <s v="Technical Support"/>
      </sharedItems>
    </cacheField>
  </cacheFields>
  <cacheHierarchies count="54">
    <cacheHierarchy uniqueName="[Table1].[Ticket_ID]" caption="Ticket_ID" attribute="1" defaultMemberUniqueName="[Table1].[Ticket_ID].[All]" allUniqueName="[Table1].[Ticket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Agent]" caption="Agent" attribute="1" defaultMemberUniqueName="[Table1].[Agent].[All]" allUniqueName="[Table1].[Agent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Ticket_Date]" caption="Ticket_Date" attribute="1" time="1" defaultMemberUniqueName="[Table1].[Ticket_Date].[All]" allUniqueName="[Table1].[Ticket_Date].[All]" dimensionUniqueName="[Table1]" displayFolder="" count="0" memberValueDatatype="7" unbalanced="0"/>
    <cacheHierarchy uniqueName="[Table1].[Resolution_Date]" caption="Resolution_Date" attribute="1" time="1" defaultMemberUniqueName="[Table1].[Resolution_Date].[All]" allUniqueName="[Table1].[Resolution_Date].[All]" dimensionUniqueName="[Table1]" displayFolder="" count="0" memberValueDatatype="7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Issue_Type]" caption="Issue_Type" attribute="1" defaultMemberUniqueName="[Table1].[Issue_Type].[All]" allUniqueName="[Table1].[Issue_Type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solution_Hours]" caption="Resolution_Hours" attribute="1" defaultMemberUniqueName="[Table1].[Resolution_Hours].[All]" allUniqueName="[Table1].[Resolution_Hours].[All]" dimensionUniqueName="[Table1]" displayFolder="" count="0" memberValueDatatype="20" unbalanced="0"/>
    <cacheHierarchy uniqueName="[Table1].[SLA_Target_Hours]" caption="SLA_Target_Hours" attribute="1" defaultMemberUniqueName="[Table1].[SLA_Target_Hours].[All]" allUniqueName="[Table1].[SLA_Target_Hours].[All]" dimensionUniqueName="[Table1]" displayFolder="" count="0" memberValueDatatype="2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20" unbalanced="0"/>
    <cacheHierarchy uniqueName="[Table1].[Escalated]" caption="Escalated" attribute="1" defaultMemberUniqueName="[Table1].[Escalated].[All]" allUniqueName="[Table1].[Escalate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Data_Quality_Flag]" caption="Data_Quality_Flag" attribute="1" defaultMemberUniqueName="[Table1].[Data_Quality_Flag].[All]" allUniqueName="[Table1].[Data_Quality_Flag].[All]" dimensionUniqueName="[Table1]" displayFolder="" count="0" memberValueDatatype="130" unbalanced="0"/>
    <cacheHierarchy uniqueName="[Table1].[SLA_Status]" caption="SLA_Status" attribute="1" defaultMemberUniqueName="[Table1].[SLA_Status].[All]" allUniqueName="[Table1].[SLA_Status].[All]" dimensionUniqueName="[Table1]" displayFolder="" count="0" memberValueDatatype="130" unbalanced="0"/>
    <cacheHierarchy uniqueName="[Table1].[Ticket_Date_only]" caption="Ticket_Date_only" attribute="1" time="1" defaultMemberUniqueName="[Table1].[Ticket_Date_only].[All]" allUniqueName="[Table1].[Ticket_Date_only].[All]" dimensionUniqueName="[Table1]" displayFolder="" count="0" memberValueDatatype="7" unbalanced="0"/>
    <cacheHierarchy uniqueName="[Table1].[Ticket_Year]" caption="Ticket_Year" attribute="1" defaultMemberUniqueName="[Table1].[Ticket_Year].[All]" allUniqueName="[Table1].[Ticket_Year].[All]" dimensionUniqueName="[Table1]" displayFolder="" count="0" memberValueDatatype="20" unbalanced="0"/>
    <cacheHierarchy uniqueName="[Table1].[Ticket_Month_Number]" caption="Ticket_Month_Number" attribute="1" defaultMemberUniqueName="[Table1].[Ticket_Month_Number].[All]" allUniqueName="[Table1].[Ticket_Month_Number].[All]" dimensionUniqueName="[Table1]" displayFolder="" count="0" memberValueDatatype="20" unbalanced="0"/>
    <cacheHierarchy uniqueName="[Table1].[Ticket_Month_ Name]" caption="Ticket_Month_ Name" attribute="1" defaultMemberUniqueName="[Table1].[Ticket_Month_ Name].[All]" allUniqueName="[Table1].[Ticket_Month_ Name].[All]" dimensionUniqueName="[Table1]" displayFolder="" count="0" memberValueDatatype="130" unbalanced="0"/>
    <cacheHierarchy uniqueName="[Table1_2].[Ticket_ID]" caption="Ticket_ID" attribute="1" defaultMemberUniqueName="[Table1_2].[Ticket_ID].[All]" allUniqueName="[Table1_2].[Ticket_ID].[All]" dimensionUniqueName="[Table1_2]" displayFolder="" count="0" memberValueDatatype="130" unbalanced="0"/>
    <cacheHierarchy uniqueName="[Table1_2].[Customer_ID]" caption="Customer_ID" attribute="1" defaultMemberUniqueName="[Table1_2].[Customer_ID].[All]" allUniqueName="[Table1_2].[Customer_ID].[All]" dimensionUniqueName="[Table1_2]" displayFolder="" count="0" memberValueDatatype="130" unbalanced="0"/>
    <cacheHierarchy uniqueName="[Table1_2].[Agent]" caption="Agent" attribute="1" defaultMemberUniqueName="[Table1_2].[Agent].[All]" allUniqueName="[Table1_2].[Agent].[All]" dimensionUniqueName="[Table1_2]" displayFolder="" count="0" memberValueDatatype="130" unbalanced="0"/>
    <cacheHierarchy uniqueName="[Table1_2].[Department]" caption="Department" attribute="1" defaultMemberUniqueName="[Table1_2].[Department].[All]" allUniqueName="[Table1_2].[Department].[All]" dimensionUniqueName="[Table1_2]" displayFolder="" count="2" memberValueDatatype="130" unbalanced="0">
      <fieldsUsage count="2">
        <fieldUsage x="-1"/>
        <fieldUsage x="3"/>
      </fieldsUsage>
    </cacheHierarchy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Ticket_Date]" caption="Ticket_Date" attribute="1" time="1" defaultMemberUniqueName="[Table1_2].[Ticket_Date].[All]" allUniqueName="[Table1_2].[Ticket_Date].[All]" dimensionUniqueName="[Table1_2]" displayFolder="" count="0" memberValueDatatype="7" unbalanced="0"/>
    <cacheHierarchy uniqueName="[Table1_2].[Resolution_Date]" caption="Resolution_Date" attribute="1" time="1" defaultMemberUniqueName="[Table1_2].[Resolution_Date].[All]" allUniqueName="[Table1_2].[Resolution_Date].[All]" dimensionUniqueName="[Table1_2]" displayFolder="" count="0" memberValueDatatype="7" unbalanced="0"/>
    <cacheHierarchy uniqueName="[Table1_2].[Priority]" caption="Priority" attribute="1" defaultMemberUniqueName="[Table1_2].[Priority].[All]" allUniqueName="[Table1_2].[Priority].[All]" dimensionUniqueName="[Table1_2]" displayFolder="" count="0" memberValueDatatype="130" unbalanced="0"/>
    <cacheHierarchy uniqueName="[Table1_2].[Issue_Type]" caption="Issue_Type" attribute="1" defaultMemberUniqueName="[Table1_2].[Issue_Type].[All]" allUniqueName="[Table1_2].[Issue_Type].[All]" dimensionUniqueName="[Table1_2]" displayFolder="" count="0" memberValueDatatype="130" unbalanced="0"/>
    <cacheHierarchy uniqueName="[Table1_2].[Status]" caption="Status" attribute="1" defaultMemberUniqueName="[Table1_2].[Status].[All]" allUniqueName="[Table1_2].[Status].[All]" dimensionUniqueName="[Table1_2]" displayFolder="" count="0" memberValueDatatype="130" unbalanced="0"/>
    <cacheHierarchy uniqueName="[Table1_2].[Resolution_Hours]" caption="Resolution_Hours" attribute="1" defaultMemberUniqueName="[Table1_2].[Resolution_Hours].[All]" allUniqueName="[Table1_2].[Resolution_Hours].[All]" dimensionUniqueName="[Table1_2]" displayFolder="" count="0" memberValueDatatype="20" unbalanced="0"/>
    <cacheHierarchy uniqueName="[Table1_2].[SLA_Target_Hours]" caption="SLA_Target_Hours" attribute="1" defaultMemberUniqueName="[Table1_2].[SLA_Target_Hours].[All]" allUniqueName="[Table1_2].[SLA_Target_Hours].[All]" dimensionUniqueName="[Table1_2]" displayFolder="" count="0" memberValueDatatype="20" unbalanced="0"/>
    <cacheHierarchy uniqueName="[Table1_2].[Customer_Rating]" caption="Customer_Rating" attribute="1" defaultMemberUniqueName="[Table1_2].[Customer_Rating].[All]" allUniqueName="[Table1_2].[Customer_Rating].[All]" dimensionUniqueName="[Table1_2]" displayFolder="" count="0" memberValueDatatype="20" unbalanced="0"/>
    <cacheHierarchy uniqueName="[Table1_2].[Escalated]" caption="Escalated" attribute="1" defaultMemberUniqueName="[Table1_2].[Escalated].[All]" allUniqueName="[Table1_2].[Escalated].[All]" dimensionUniqueName="[Table1_2]" displayFolder="" count="0" memberValueDatatype="130" unbalanced="0"/>
    <cacheHierarchy uniqueName="[Table1_2].[Channel]" caption="Channel" attribute="1" defaultMemberUniqueName="[Table1_2].[Channel].[All]" allUniqueName="[Table1_2].[Channel].[All]" dimensionUniqueName="[Table1_2]" displayFolder="" count="0" memberValueDatatype="130" unbalanced="0"/>
    <cacheHierarchy uniqueName="[Table1_2].[Data_Quality_Flag]" caption="Data_Quality_Flag" attribute="1" defaultMemberUniqueName="[Table1_2].[Data_Quality_Flag].[All]" allUniqueName="[Table1_2].[Data_Quality_Flag].[All]" dimensionUniqueName="[Table1_2]" displayFolder="" count="0" memberValueDatatype="130" unbalanced="0"/>
    <cacheHierarchy uniqueName="[Table1_2].[SLA_Status]" caption="SLA_Status" attribute="1" defaultMemberUniqueName="[Table1_2].[SLA_Status].[All]" allUniqueName="[Table1_2].[SLA_Status].[All]" dimensionUniqueName="[Table1_2]" displayFolder="" count="0" memberValueDatatype="130" unbalanced="0"/>
    <cacheHierarchy uniqueName="[Table1_2].[Ticket_Date_only]" caption="Ticket_Date_only" attribute="1" time="1" defaultMemberUniqueName="[Table1_2].[Ticket_Date_only].[All]" allUniqueName="[Table1_2].[Ticket_Date_only].[All]" dimensionUniqueName="[Table1_2]" displayFolder="" count="0" memberValueDatatype="7" unbalanced="0"/>
    <cacheHierarchy uniqueName="[Table1_2].[Ticket_Year]" caption="Ticket_Year" attribute="1" defaultMemberUniqueName="[Table1_2].[Ticket_Year].[All]" allUniqueName="[Table1_2].[Ticket_Year].[All]" dimensionUniqueName="[Table1_2]" displayFolder="" count="0" memberValueDatatype="20" unbalanced="0"/>
    <cacheHierarchy uniqueName="[Table1_2].[Ticket_Month_Number]" caption="Ticket_Month_Number" attribute="1" defaultMemberUniqueName="[Table1_2].[Ticket_Month_Number].[All]" allUniqueName="[Table1_2].[Ticket_Month_Number].[All]" dimensionUniqueName="[Table1_2]" displayFolder="" count="0" memberValueDatatype="20" unbalanced="0"/>
    <cacheHierarchy uniqueName="[Table1_2].[Ticket_Month_ Name]" caption="Ticket_Month_ Name" attribute="1" defaultMemberUniqueName="[Table1_2].[Ticket_Month_ Name].[All]" allUniqueName="[Table1_2].[Ticket_Month_ Name].[All]" dimensionUniqueName="[Table1_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Count of Ticket_ID]" caption="Count of Ticket_ID" measure="1" displayFolder="" measureGroup="Table1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LA_Status]" caption="Count of SLA_Status" measure="1" displayFolder="" measureGroup="Table1_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Status]" caption="Count of Status" measure="1" displayFolder="" measureGroup="Table1_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solution_Hours]" caption="Sum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solution_Hours]" caption="Average of Resolution_Hours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_Rating]" caption="Sum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ustomer_Rating]" caption="Average of Customer_Rating" measure="1" displayFolder="" measureGroup="Table1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_Rating]" caption="Count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Escalated]" caption="Count of Escalated" measure="1" displayFolder="" measureGroup="Table1_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2" uniqueName="[Table1_2]" caption="Table1_2"/>
  </dimensions>
  <measureGroups count="2">
    <measureGroup name="Table1" caption="Table1"/>
    <measureGroup name="Table1_2" caption="Table1_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45.168477083331" backgroundQuery="1" createdVersion="7" refreshedVersion="7" minRefreshableVersion="3" recordCount="0" supportSubquery="1" supportAdvancedDrill="1" xr:uid="{BDCC42EB-F428-486F-859A-D9D183CC3563}">
  <cacheSource type="external" connectionId="3"/>
  <cacheFields count="4">
    <cacheField name="[Table1_2].[Agent].[Agent]" caption="Agent" numFmtId="0" hierarchy="23" level="1">
      <sharedItems count="6">
        <s v="Aisha Khan"/>
        <s v="Arjun Mehta"/>
        <s v="Neha Sharma"/>
        <s v="Rahul Patil"/>
        <s v="Sneha Rao"/>
        <s v="Vikram Singh"/>
      </sharedItems>
    </cacheField>
    <cacheField name="[Measures].[Average of Resolution_Hours]" caption="Average of Resolution_Hours" numFmtId="0" hierarchy="49" level="32767"/>
    <cacheField name="[Measures].[Average of Customer_Rating]" caption="Average of Customer_Rating" numFmtId="0" hierarchy="51" level="32767"/>
    <cacheField name="[Measures].[Count of SLA_Status]" caption="Count of SLA_Status" numFmtId="0" hierarchy="46" level="32767"/>
  </cacheFields>
  <cacheHierarchies count="54">
    <cacheHierarchy uniqueName="[Table1].[Ticket_ID]" caption="Ticket_ID" attribute="1" defaultMemberUniqueName="[Table1].[Ticket_ID].[All]" allUniqueName="[Table1].[Ticket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Agent]" caption="Agent" attribute="1" defaultMemberUniqueName="[Table1].[Agent].[All]" allUniqueName="[Table1].[Agent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Ticket_Date]" caption="Ticket_Date" attribute="1" time="1" defaultMemberUniqueName="[Table1].[Ticket_Date].[All]" allUniqueName="[Table1].[Ticket_Date].[All]" dimensionUniqueName="[Table1]" displayFolder="" count="0" memberValueDatatype="7" unbalanced="0"/>
    <cacheHierarchy uniqueName="[Table1].[Resolution_Date]" caption="Resolution_Date" attribute="1" time="1" defaultMemberUniqueName="[Table1].[Resolution_Date].[All]" allUniqueName="[Table1].[Resolution_Date].[All]" dimensionUniqueName="[Table1]" displayFolder="" count="0" memberValueDatatype="7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Issue_Type]" caption="Issue_Type" attribute="1" defaultMemberUniqueName="[Table1].[Issue_Type].[All]" allUniqueName="[Table1].[Issue_Type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solution_Hours]" caption="Resolution_Hours" attribute="1" defaultMemberUniqueName="[Table1].[Resolution_Hours].[All]" allUniqueName="[Table1].[Resolution_Hours].[All]" dimensionUniqueName="[Table1]" displayFolder="" count="0" memberValueDatatype="20" unbalanced="0"/>
    <cacheHierarchy uniqueName="[Table1].[SLA_Target_Hours]" caption="SLA_Target_Hours" attribute="1" defaultMemberUniqueName="[Table1].[SLA_Target_Hours].[All]" allUniqueName="[Table1].[SLA_Target_Hours].[All]" dimensionUniqueName="[Table1]" displayFolder="" count="0" memberValueDatatype="2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20" unbalanced="0"/>
    <cacheHierarchy uniqueName="[Table1].[Escalated]" caption="Escalated" attribute="1" defaultMemberUniqueName="[Table1].[Escalated].[All]" allUniqueName="[Table1].[Escalate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Data_Quality_Flag]" caption="Data_Quality_Flag" attribute="1" defaultMemberUniqueName="[Table1].[Data_Quality_Flag].[All]" allUniqueName="[Table1].[Data_Quality_Flag].[All]" dimensionUniqueName="[Table1]" displayFolder="" count="0" memberValueDatatype="130" unbalanced="0"/>
    <cacheHierarchy uniqueName="[Table1].[SLA_Status]" caption="SLA_Status" attribute="1" defaultMemberUniqueName="[Table1].[SLA_Status].[All]" allUniqueName="[Table1].[SLA_Status].[All]" dimensionUniqueName="[Table1]" displayFolder="" count="0" memberValueDatatype="130" unbalanced="0"/>
    <cacheHierarchy uniqueName="[Table1].[Ticket_Date_only]" caption="Ticket_Date_only" attribute="1" time="1" defaultMemberUniqueName="[Table1].[Ticket_Date_only].[All]" allUniqueName="[Table1].[Ticket_Date_only].[All]" dimensionUniqueName="[Table1]" displayFolder="" count="0" memberValueDatatype="7" unbalanced="0"/>
    <cacheHierarchy uniqueName="[Table1].[Ticket_Year]" caption="Ticket_Year" attribute="1" defaultMemberUniqueName="[Table1].[Ticket_Year].[All]" allUniqueName="[Table1].[Ticket_Year].[All]" dimensionUniqueName="[Table1]" displayFolder="" count="0" memberValueDatatype="20" unbalanced="0"/>
    <cacheHierarchy uniqueName="[Table1].[Ticket_Month_Number]" caption="Ticket_Month_Number" attribute="1" defaultMemberUniqueName="[Table1].[Ticket_Month_Number].[All]" allUniqueName="[Table1].[Ticket_Month_Number].[All]" dimensionUniqueName="[Table1]" displayFolder="" count="0" memberValueDatatype="20" unbalanced="0"/>
    <cacheHierarchy uniqueName="[Table1].[Ticket_Month_ Name]" caption="Ticket_Month_ Name" attribute="1" defaultMemberUniqueName="[Table1].[Ticket_Month_ Name].[All]" allUniqueName="[Table1].[Ticket_Month_ Name].[All]" dimensionUniqueName="[Table1]" displayFolder="" count="0" memberValueDatatype="130" unbalanced="0"/>
    <cacheHierarchy uniqueName="[Table1_2].[Ticket_ID]" caption="Ticket_ID" attribute="1" defaultMemberUniqueName="[Table1_2].[Ticket_ID].[All]" allUniqueName="[Table1_2].[Ticket_ID].[All]" dimensionUniqueName="[Table1_2]" displayFolder="" count="0" memberValueDatatype="130" unbalanced="0"/>
    <cacheHierarchy uniqueName="[Table1_2].[Customer_ID]" caption="Customer_ID" attribute="1" defaultMemberUniqueName="[Table1_2].[Customer_ID].[All]" allUniqueName="[Table1_2].[Customer_ID].[All]" dimensionUniqueName="[Table1_2]" displayFolder="" count="0" memberValueDatatype="130" unbalanced="0"/>
    <cacheHierarchy uniqueName="[Table1_2].[Agent]" caption="Agent" attribute="1" defaultMemberUniqueName="[Table1_2].[Agent].[All]" allUniqueName="[Table1_2].[Agent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Department]" caption="Department" attribute="1" defaultMemberUniqueName="[Table1_2].[Department].[All]" allUniqueName="[Table1_2].[Department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Ticket_Date]" caption="Ticket_Date" attribute="1" time="1" defaultMemberUniqueName="[Table1_2].[Ticket_Date].[All]" allUniqueName="[Table1_2].[Ticket_Date].[All]" dimensionUniqueName="[Table1_2]" displayFolder="" count="0" memberValueDatatype="7" unbalanced="0"/>
    <cacheHierarchy uniqueName="[Table1_2].[Resolution_Date]" caption="Resolution_Date" attribute="1" time="1" defaultMemberUniqueName="[Table1_2].[Resolution_Date].[All]" allUniqueName="[Table1_2].[Resolution_Date].[All]" dimensionUniqueName="[Table1_2]" displayFolder="" count="0" memberValueDatatype="7" unbalanced="0"/>
    <cacheHierarchy uniqueName="[Table1_2].[Priority]" caption="Priority" attribute="1" defaultMemberUniqueName="[Table1_2].[Priority].[All]" allUniqueName="[Table1_2].[Priority].[All]" dimensionUniqueName="[Table1_2]" displayFolder="" count="0" memberValueDatatype="130" unbalanced="0"/>
    <cacheHierarchy uniqueName="[Table1_2].[Issue_Type]" caption="Issue_Type" attribute="1" defaultMemberUniqueName="[Table1_2].[Issue_Type].[All]" allUniqueName="[Table1_2].[Issue_Type].[All]" dimensionUniqueName="[Table1_2]" displayFolder="" count="0" memberValueDatatype="130" unbalanced="0"/>
    <cacheHierarchy uniqueName="[Table1_2].[Status]" caption="Status" attribute="1" defaultMemberUniqueName="[Table1_2].[Status].[All]" allUniqueName="[Table1_2].[Status].[All]" dimensionUniqueName="[Table1_2]" displayFolder="" count="0" memberValueDatatype="130" unbalanced="0"/>
    <cacheHierarchy uniqueName="[Table1_2].[Resolution_Hours]" caption="Resolution_Hours" attribute="1" defaultMemberUniqueName="[Table1_2].[Resolution_Hours].[All]" allUniqueName="[Table1_2].[Resolution_Hours].[All]" dimensionUniqueName="[Table1_2]" displayFolder="" count="0" memberValueDatatype="20" unbalanced="0"/>
    <cacheHierarchy uniqueName="[Table1_2].[SLA_Target_Hours]" caption="SLA_Target_Hours" attribute="1" defaultMemberUniqueName="[Table1_2].[SLA_Target_Hours].[All]" allUniqueName="[Table1_2].[SLA_Target_Hours].[All]" dimensionUniqueName="[Table1_2]" displayFolder="" count="0" memberValueDatatype="20" unbalanced="0"/>
    <cacheHierarchy uniqueName="[Table1_2].[Customer_Rating]" caption="Customer_Rating" attribute="1" defaultMemberUniqueName="[Table1_2].[Customer_Rating].[All]" allUniqueName="[Table1_2].[Customer_Rating].[All]" dimensionUniqueName="[Table1_2]" displayFolder="" count="0" memberValueDatatype="20" unbalanced="0"/>
    <cacheHierarchy uniqueName="[Table1_2].[Escalated]" caption="Escalated" attribute="1" defaultMemberUniqueName="[Table1_2].[Escalated].[All]" allUniqueName="[Table1_2].[Escalated].[All]" dimensionUniqueName="[Table1_2]" displayFolder="" count="0" memberValueDatatype="130" unbalanced="0"/>
    <cacheHierarchy uniqueName="[Table1_2].[Channel]" caption="Channel" attribute="1" defaultMemberUniqueName="[Table1_2].[Channel].[All]" allUniqueName="[Table1_2].[Channel].[All]" dimensionUniqueName="[Table1_2]" displayFolder="" count="0" memberValueDatatype="130" unbalanced="0"/>
    <cacheHierarchy uniqueName="[Table1_2].[Data_Quality_Flag]" caption="Data_Quality_Flag" attribute="1" defaultMemberUniqueName="[Table1_2].[Data_Quality_Flag].[All]" allUniqueName="[Table1_2].[Data_Quality_Flag].[All]" dimensionUniqueName="[Table1_2]" displayFolder="" count="0" memberValueDatatype="130" unbalanced="0"/>
    <cacheHierarchy uniqueName="[Table1_2].[SLA_Status]" caption="SLA_Status" attribute="1" defaultMemberUniqueName="[Table1_2].[SLA_Status].[All]" allUniqueName="[Table1_2].[SLA_Status].[All]" dimensionUniqueName="[Table1_2]" displayFolder="" count="0" memberValueDatatype="130" unbalanced="0"/>
    <cacheHierarchy uniqueName="[Table1_2].[Ticket_Date_only]" caption="Ticket_Date_only" attribute="1" time="1" defaultMemberUniqueName="[Table1_2].[Ticket_Date_only].[All]" allUniqueName="[Table1_2].[Ticket_Date_only].[All]" dimensionUniqueName="[Table1_2]" displayFolder="" count="0" memberValueDatatype="7" unbalanced="0"/>
    <cacheHierarchy uniqueName="[Table1_2].[Ticket_Year]" caption="Ticket_Year" attribute="1" defaultMemberUniqueName="[Table1_2].[Ticket_Year].[All]" allUniqueName="[Table1_2].[Ticket_Year].[All]" dimensionUniqueName="[Table1_2]" displayFolder="" count="0" memberValueDatatype="20" unbalanced="0"/>
    <cacheHierarchy uniqueName="[Table1_2].[Ticket_Month_Number]" caption="Ticket_Month_Number" attribute="1" defaultMemberUniqueName="[Table1_2].[Ticket_Month_Number].[All]" allUniqueName="[Table1_2].[Ticket_Month_Number].[All]" dimensionUniqueName="[Table1_2]" displayFolder="" count="0" memberValueDatatype="20" unbalanced="0"/>
    <cacheHierarchy uniqueName="[Table1_2].[Ticket_Month_ Name]" caption="Ticket_Month_ Name" attribute="1" defaultMemberUniqueName="[Table1_2].[Ticket_Month_ Name].[All]" allUniqueName="[Table1_2].[Ticket_Month_ Name].[All]" dimensionUniqueName="[Table1_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Count of Ticket_ID]" caption="Count of Ticket_ID" measure="1" displayFolder="" measureGroup="Table1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LA_Status]" caption="Count of SLA_Status" measure="1" displayFolder="" measureGroup="Table1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Status]" caption="Count of Status" measure="1" displayFolder="" measureGroup="Table1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solution_Hours]" caption="Sum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solution_Hours]" caption="Average of Resolution_Hours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_Rating]" caption="Sum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ustomer_Rating]" caption="Average of Customer_Rating" measure="1" displayFolder="" measureGroup="Table1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_Rating]" caption="Count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Escalated]" caption="Count of Escalated" measure="1" displayFolder="" measureGroup="Table1_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2" uniqueName="[Table1_2]" caption="Table1_2"/>
  </dimensions>
  <measureGroups count="2">
    <measureGroup name="Table1" caption="Table1"/>
    <measureGroup name="Table1_2" caption="Table1_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45.140583680557" backgroundQuery="1" createdVersion="7" refreshedVersion="7" minRefreshableVersion="3" recordCount="0" supportSubquery="1" supportAdvancedDrill="1" xr:uid="{3A0F8AE5-6485-4369-B136-FB29A1E35171}">
  <cacheSource type="external" connectionId="3"/>
  <cacheFields count="2">
    <cacheField name="[Measures].[Count of Ticket_ID]" caption="Count of Ticket_ID" numFmtId="0" hierarchy="45" level="32767"/>
    <cacheField name="[Table1_2].[Status].[Status]" caption="Status" numFmtId="0" hierarchy="30" level="1">
      <sharedItems count="3">
        <s v="Open"/>
        <s v="Pending"/>
        <s v="Resolved"/>
      </sharedItems>
    </cacheField>
  </cacheFields>
  <cacheHierarchies count="54">
    <cacheHierarchy uniqueName="[Table1].[Ticket_ID]" caption="Ticket_ID" attribute="1" defaultMemberUniqueName="[Table1].[Ticket_ID].[All]" allUniqueName="[Table1].[Ticket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Agent]" caption="Agent" attribute="1" defaultMemberUniqueName="[Table1].[Agent].[All]" allUniqueName="[Table1].[Agent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Ticket_Date]" caption="Ticket_Date" attribute="1" time="1" defaultMemberUniqueName="[Table1].[Ticket_Date].[All]" allUniqueName="[Table1].[Ticket_Date].[All]" dimensionUniqueName="[Table1]" displayFolder="" count="0" memberValueDatatype="7" unbalanced="0"/>
    <cacheHierarchy uniqueName="[Table1].[Resolution_Date]" caption="Resolution_Date" attribute="1" time="1" defaultMemberUniqueName="[Table1].[Resolution_Date].[All]" allUniqueName="[Table1].[Resolution_Date].[All]" dimensionUniqueName="[Table1]" displayFolder="" count="0" memberValueDatatype="7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Issue_Type]" caption="Issue_Type" attribute="1" defaultMemberUniqueName="[Table1].[Issue_Type].[All]" allUniqueName="[Table1].[Issue_Type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solution_Hours]" caption="Resolution_Hours" attribute="1" defaultMemberUniqueName="[Table1].[Resolution_Hours].[All]" allUniqueName="[Table1].[Resolution_Hours].[All]" dimensionUniqueName="[Table1]" displayFolder="" count="0" memberValueDatatype="20" unbalanced="0"/>
    <cacheHierarchy uniqueName="[Table1].[SLA_Target_Hours]" caption="SLA_Target_Hours" attribute="1" defaultMemberUniqueName="[Table1].[SLA_Target_Hours].[All]" allUniqueName="[Table1].[SLA_Target_Hours].[All]" dimensionUniqueName="[Table1]" displayFolder="" count="0" memberValueDatatype="2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20" unbalanced="0"/>
    <cacheHierarchy uniqueName="[Table1].[Escalated]" caption="Escalated" attribute="1" defaultMemberUniqueName="[Table1].[Escalated].[All]" allUniqueName="[Table1].[Escalate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Data_Quality_Flag]" caption="Data_Quality_Flag" attribute="1" defaultMemberUniqueName="[Table1].[Data_Quality_Flag].[All]" allUniqueName="[Table1].[Data_Quality_Flag].[All]" dimensionUniqueName="[Table1]" displayFolder="" count="0" memberValueDatatype="130" unbalanced="0"/>
    <cacheHierarchy uniqueName="[Table1].[SLA_Status]" caption="SLA_Status" attribute="1" defaultMemberUniqueName="[Table1].[SLA_Status].[All]" allUniqueName="[Table1].[SLA_Status].[All]" dimensionUniqueName="[Table1]" displayFolder="" count="0" memberValueDatatype="130" unbalanced="0"/>
    <cacheHierarchy uniqueName="[Table1].[Ticket_Date_only]" caption="Ticket_Date_only" attribute="1" time="1" defaultMemberUniqueName="[Table1].[Ticket_Date_only].[All]" allUniqueName="[Table1].[Ticket_Date_only].[All]" dimensionUniqueName="[Table1]" displayFolder="" count="0" memberValueDatatype="7" unbalanced="0"/>
    <cacheHierarchy uniqueName="[Table1].[Ticket_Year]" caption="Ticket_Year" attribute="1" defaultMemberUniqueName="[Table1].[Ticket_Year].[All]" allUniqueName="[Table1].[Ticket_Year].[All]" dimensionUniqueName="[Table1]" displayFolder="" count="0" memberValueDatatype="20" unbalanced="0"/>
    <cacheHierarchy uniqueName="[Table1].[Ticket_Month_Number]" caption="Ticket_Month_Number" attribute="1" defaultMemberUniqueName="[Table1].[Ticket_Month_Number].[All]" allUniqueName="[Table1].[Ticket_Month_Number].[All]" dimensionUniqueName="[Table1]" displayFolder="" count="0" memberValueDatatype="20" unbalanced="0"/>
    <cacheHierarchy uniqueName="[Table1].[Ticket_Month_ Name]" caption="Ticket_Month_ Name" attribute="1" defaultMemberUniqueName="[Table1].[Ticket_Month_ Name].[All]" allUniqueName="[Table1].[Ticket_Month_ Name].[All]" dimensionUniqueName="[Table1]" displayFolder="" count="0" memberValueDatatype="130" unbalanced="0"/>
    <cacheHierarchy uniqueName="[Table1_2].[Ticket_ID]" caption="Ticket_ID" attribute="1" defaultMemberUniqueName="[Table1_2].[Ticket_ID].[All]" allUniqueName="[Table1_2].[Ticket_ID].[All]" dimensionUniqueName="[Table1_2]" displayFolder="" count="0" memberValueDatatype="130" unbalanced="0"/>
    <cacheHierarchy uniqueName="[Table1_2].[Customer_ID]" caption="Customer_ID" attribute="1" defaultMemberUniqueName="[Table1_2].[Customer_ID].[All]" allUniqueName="[Table1_2].[Customer_ID].[All]" dimensionUniqueName="[Table1_2]" displayFolder="" count="0" memberValueDatatype="130" unbalanced="0"/>
    <cacheHierarchy uniqueName="[Table1_2].[Agent]" caption="Agent" attribute="1" defaultMemberUniqueName="[Table1_2].[Agent].[All]" allUniqueName="[Table1_2].[Agent].[All]" dimensionUniqueName="[Table1_2]" displayFolder="" count="0" memberValueDatatype="130" unbalanced="0"/>
    <cacheHierarchy uniqueName="[Table1_2].[Department]" caption="Department" attribute="1" defaultMemberUniqueName="[Table1_2].[Department].[All]" allUniqueName="[Table1_2].[Department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Ticket_Date]" caption="Ticket_Date" attribute="1" time="1" defaultMemberUniqueName="[Table1_2].[Ticket_Date].[All]" allUniqueName="[Table1_2].[Ticket_Date].[All]" dimensionUniqueName="[Table1_2]" displayFolder="" count="0" memberValueDatatype="7" unbalanced="0"/>
    <cacheHierarchy uniqueName="[Table1_2].[Resolution_Date]" caption="Resolution_Date" attribute="1" time="1" defaultMemberUniqueName="[Table1_2].[Resolution_Date].[All]" allUniqueName="[Table1_2].[Resolution_Date].[All]" dimensionUniqueName="[Table1_2]" displayFolder="" count="0" memberValueDatatype="7" unbalanced="0"/>
    <cacheHierarchy uniqueName="[Table1_2].[Priority]" caption="Priority" attribute="1" defaultMemberUniqueName="[Table1_2].[Priority].[All]" allUniqueName="[Table1_2].[Priority].[All]" dimensionUniqueName="[Table1_2]" displayFolder="" count="0" memberValueDatatype="130" unbalanced="0"/>
    <cacheHierarchy uniqueName="[Table1_2].[Issue_Type]" caption="Issue_Type" attribute="1" defaultMemberUniqueName="[Table1_2].[Issue_Type].[All]" allUniqueName="[Table1_2].[Issue_Type].[All]" dimensionUniqueName="[Table1_2]" displayFolder="" count="0" memberValueDatatype="130" unbalanced="0"/>
    <cacheHierarchy uniqueName="[Table1_2].[Status]" caption="Status" attribute="1" defaultMemberUniqueName="[Table1_2].[Status].[All]" allUniqueName="[Table1_2].[Status].[All]" dimensionUniqueName="[Table1_2]" displayFolder="" count="2" memberValueDatatype="130" unbalanced="0">
      <fieldsUsage count="2">
        <fieldUsage x="-1"/>
        <fieldUsage x="1"/>
      </fieldsUsage>
    </cacheHierarchy>
    <cacheHierarchy uniqueName="[Table1_2].[Resolution_Hours]" caption="Resolution_Hours" attribute="1" defaultMemberUniqueName="[Table1_2].[Resolution_Hours].[All]" allUniqueName="[Table1_2].[Resolution_Hours].[All]" dimensionUniqueName="[Table1_2]" displayFolder="" count="0" memberValueDatatype="20" unbalanced="0"/>
    <cacheHierarchy uniqueName="[Table1_2].[SLA_Target_Hours]" caption="SLA_Target_Hours" attribute="1" defaultMemberUniqueName="[Table1_2].[SLA_Target_Hours].[All]" allUniqueName="[Table1_2].[SLA_Target_Hours].[All]" dimensionUniqueName="[Table1_2]" displayFolder="" count="0" memberValueDatatype="20" unbalanced="0"/>
    <cacheHierarchy uniqueName="[Table1_2].[Customer_Rating]" caption="Customer_Rating" attribute="1" defaultMemberUniqueName="[Table1_2].[Customer_Rating].[All]" allUniqueName="[Table1_2].[Customer_Rating].[All]" dimensionUniqueName="[Table1_2]" displayFolder="" count="0" memberValueDatatype="20" unbalanced="0"/>
    <cacheHierarchy uniqueName="[Table1_2].[Escalated]" caption="Escalated" attribute="1" defaultMemberUniqueName="[Table1_2].[Escalated].[All]" allUniqueName="[Table1_2].[Escalated].[All]" dimensionUniqueName="[Table1_2]" displayFolder="" count="0" memberValueDatatype="130" unbalanced="0"/>
    <cacheHierarchy uniqueName="[Table1_2].[Channel]" caption="Channel" attribute="1" defaultMemberUniqueName="[Table1_2].[Channel].[All]" allUniqueName="[Table1_2].[Channel].[All]" dimensionUniqueName="[Table1_2]" displayFolder="" count="0" memberValueDatatype="130" unbalanced="0"/>
    <cacheHierarchy uniqueName="[Table1_2].[Data_Quality_Flag]" caption="Data_Quality_Flag" attribute="1" defaultMemberUniqueName="[Table1_2].[Data_Quality_Flag].[All]" allUniqueName="[Table1_2].[Data_Quality_Flag].[All]" dimensionUniqueName="[Table1_2]" displayFolder="" count="0" memberValueDatatype="130" unbalanced="0"/>
    <cacheHierarchy uniqueName="[Table1_2].[SLA_Status]" caption="SLA_Status" attribute="1" defaultMemberUniqueName="[Table1_2].[SLA_Status].[All]" allUniqueName="[Table1_2].[SLA_Status].[All]" dimensionUniqueName="[Table1_2]" displayFolder="" count="0" memberValueDatatype="130" unbalanced="0"/>
    <cacheHierarchy uniqueName="[Table1_2].[Ticket_Date_only]" caption="Ticket_Date_only" attribute="1" time="1" defaultMemberUniqueName="[Table1_2].[Ticket_Date_only].[All]" allUniqueName="[Table1_2].[Ticket_Date_only].[All]" dimensionUniqueName="[Table1_2]" displayFolder="" count="0" memberValueDatatype="7" unbalanced="0"/>
    <cacheHierarchy uniqueName="[Table1_2].[Ticket_Year]" caption="Ticket_Year" attribute="1" defaultMemberUniqueName="[Table1_2].[Ticket_Year].[All]" allUniqueName="[Table1_2].[Ticket_Year].[All]" dimensionUniqueName="[Table1_2]" displayFolder="" count="0" memberValueDatatype="20" unbalanced="0"/>
    <cacheHierarchy uniqueName="[Table1_2].[Ticket_Month_Number]" caption="Ticket_Month_Number" attribute="1" defaultMemberUniqueName="[Table1_2].[Ticket_Month_Number].[All]" allUniqueName="[Table1_2].[Ticket_Month_Number].[All]" dimensionUniqueName="[Table1_2]" displayFolder="" count="0" memberValueDatatype="20" unbalanced="0"/>
    <cacheHierarchy uniqueName="[Table1_2].[Ticket_Month_ Name]" caption="Ticket_Month_ Name" attribute="1" defaultMemberUniqueName="[Table1_2].[Ticket_Month_ Name].[All]" allUniqueName="[Table1_2].[Ticket_Month_ Name].[All]" dimensionUniqueName="[Table1_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Count of Ticket_ID]" caption="Count of Ticket_ID" measure="1" displayFolder="" measureGroup="Table1_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LA_Status]" caption="Count of SLA_Status" measure="1" displayFolder="" measureGroup="Table1_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Status]" caption="Count of Status" measure="1" displayFolder="" measureGroup="Table1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solution_Hours]" caption="Sum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solution_Hours]" caption="Average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_Rating]" caption="Sum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ustomer_Rating]" caption="Average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_Rating]" caption="Count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Escalated]" caption="Count of Escalated" measure="1" displayFolder="" measureGroup="Table1_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2" uniqueName="[Table1_2]" caption="Table1_2"/>
  </dimensions>
  <measureGroups count="2">
    <measureGroup name="Table1" caption="Table1"/>
    <measureGroup name="Table1_2" caption="Table1_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45.141614120374" backgroundQuery="1" createdVersion="7" refreshedVersion="7" minRefreshableVersion="3" recordCount="0" supportSubquery="1" supportAdvancedDrill="1" xr:uid="{17A4E266-DDDD-4D01-8171-DA745138CD55}">
  <cacheSource type="external" connectionId="3"/>
  <cacheFields count="2">
    <cacheField name="[Table1_2].[SLA_Status].[SLA_Status]" caption="SLA_Status" numFmtId="0" hierarchy="37" level="1">
      <sharedItems count="4">
        <s v="Data Issue"/>
        <s v="Not Resolved"/>
        <s v="SLA Breached"/>
        <s v="SLA Met"/>
      </sharedItems>
    </cacheField>
    <cacheField name="[Measures].[Count of SLA_Status]" caption="Count of SLA_Status" numFmtId="0" hierarchy="46" level="32767"/>
  </cacheFields>
  <cacheHierarchies count="54">
    <cacheHierarchy uniqueName="[Table1].[Ticket_ID]" caption="Ticket_ID" attribute="1" defaultMemberUniqueName="[Table1].[Ticket_ID].[All]" allUniqueName="[Table1].[Ticket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Agent]" caption="Agent" attribute="1" defaultMemberUniqueName="[Table1].[Agent].[All]" allUniqueName="[Table1].[Agent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Ticket_Date]" caption="Ticket_Date" attribute="1" time="1" defaultMemberUniqueName="[Table1].[Ticket_Date].[All]" allUniqueName="[Table1].[Ticket_Date].[All]" dimensionUniqueName="[Table1]" displayFolder="" count="0" memberValueDatatype="7" unbalanced="0"/>
    <cacheHierarchy uniqueName="[Table1].[Resolution_Date]" caption="Resolution_Date" attribute="1" time="1" defaultMemberUniqueName="[Table1].[Resolution_Date].[All]" allUniqueName="[Table1].[Resolution_Date].[All]" dimensionUniqueName="[Table1]" displayFolder="" count="0" memberValueDatatype="7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Issue_Type]" caption="Issue_Type" attribute="1" defaultMemberUniqueName="[Table1].[Issue_Type].[All]" allUniqueName="[Table1].[Issue_Type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solution_Hours]" caption="Resolution_Hours" attribute="1" defaultMemberUniqueName="[Table1].[Resolution_Hours].[All]" allUniqueName="[Table1].[Resolution_Hours].[All]" dimensionUniqueName="[Table1]" displayFolder="" count="0" memberValueDatatype="20" unbalanced="0"/>
    <cacheHierarchy uniqueName="[Table1].[SLA_Target_Hours]" caption="SLA_Target_Hours" attribute="1" defaultMemberUniqueName="[Table1].[SLA_Target_Hours].[All]" allUniqueName="[Table1].[SLA_Target_Hours].[All]" dimensionUniqueName="[Table1]" displayFolder="" count="0" memberValueDatatype="2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20" unbalanced="0"/>
    <cacheHierarchy uniqueName="[Table1].[Escalated]" caption="Escalated" attribute="1" defaultMemberUniqueName="[Table1].[Escalated].[All]" allUniqueName="[Table1].[Escalate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Data_Quality_Flag]" caption="Data_Quality_Flag" attribute="1" defaultMemberUniqueName="[Table1].[Data_Quality_Flag].[All]" allUniqueName="[Table1].[Data_Quality_Flag].[All]" dimensionUniqueName="[Table1]" displayFolder="" count="0" memberValueDatatype="130" unbalanced="0"/>
    <cacheHierarchy uniqueName="[Table1].[SLA_Status]" caption="SLA_Status" attribute="1" defaultMemberUniqueName="[Table1].[SLA_Status].[All]" allUniqueName="[Table1].[SLA_Status].[All]" dimensionUniqueName="[Table1]" displayFolder="" count="0" memberValueDatatype="130" unbalanced="0"/>
    <cacheHierarchy uniqueName="[Table1].[Ticket_Date_only]" caption="Ticket_Date_only" attribute="1" time="1" defaultMemberUniqueName="[Table1].[Ticket_Date_only].[All]" allUniqueName="[Table1].[Ticket_Date_only].[All]" dimensionUniqueName="[Table1]" displayFolder="" count="0" memberValueDatatype="7" unbalanced="0"/>
    <cacheHierarchy uniqueName="[Table1].[Ticket_Year]" caption="Ticket_Year" attribute="1" defaultMemberUniqueName="[Table1].[Ticket_Year].[All]" allUniqueName="[Table1].[Ticket_Year].[All]" dimensionUniqueName="[Table1]" displayFolder="" count="0" memberValueDatatype="20" unbalanced="0"/>
    <cacheHierarchy uniqueName="[Table1].[Ticket_Month_Number]" caption="Ticket_Month_Number" attribute="1" defaultMemberUniqueName="[Table1].[Ticket_Month_Number].[All]" allUniqueName="[Table1].[Ticket_Month_Number].[All]" dimensionUniqueName="[Table1]" displayFolder="" count="0" memberValueDatatype="20" unbalanced="0"/>
    <cacheHierarchy uniqueName="[Table1].[Ticket_Month_ Name]" caption="Ticket_Month_ Name" attribute="1" defaultMemberUniqueName="[Table1].[Ticket_Month_ Name].[All]" allUniqueName="[Table1].[Ticket_Month_ Name].[All]" dimensionUniqueName="[Table1]" displayFolder="" count="0" memberValueDatatype="130" unbalanced="0"/>
    <cacheHierarchy uniqueName="[Table1_2].[Ticket_ID]" caption="Ticket_ID" attribute="1" defaultMemberUniqueName="[Table1_2].[Ticket_ID].[All]" allUniqueName="[Table1_2].[Ticket_ID].[All]" dimensionUniqueName="[Table1_2]" displayFolder="" count="0" memberValueDatatype="130" unbalanced="0"/>
    <cacheHierarchy uniqueName="[Table1_2].[Customer_ID]" caption="Customer_ID" attribute="1" defaultMemberUniqueName="[Table1_2].[Customer_ID].[All]" allUniqueName="[Table1_2].[Customer_ID].[All]" dimensionUniqueName="[Table1_2]" displayFolder="" count="0" memberValueDatatype="130" unbalanced="0"/>
    <cacheHierarchy uniqueName="[Table1_2].[Agent]" caption="Agent" attribute="1" defaultMemberUniqueName="[Table1_2].[Agent].[All]" allUniqueName="[Table1_2].[Agent].[All]" dimensionUniqueName="[Table1_2]" displayFolder="" count="0" memberValueDatatype="130" unbalanced="0"/>
    <cacheHierarchy uniqueName="[Table1_2].[Department]" caption="Department" attribute="1" defaultMemberUniqueName="[Table1_2].[Department].[All]" allUniqueName="[Table1_2].[Department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Ticket_Date]" caption="Ticket_Date" attribute="1" time="1" defaultMemberUniqueName="[Table1_2].[Ticket_Date].[All]" allUniqueName="[Table1_2].[Ticket_Date].[All]" dimensionUniqueName="[Table1_2]" displayFolder="" count="0" memberValueDatatype="7" unbalanced="0"/>
    <cacheHierarchy uniqueName="[Table1_2].[Resolution_Date]" caption="Resolution_Date" attribute="1" time="1" defaultMemberUniqueName="[Table1_2].[Resolution_Date].[All]" allUniqueName="[Table1_2].[Resolution_Date].[All]" dimensionUniqueName="[Table1_2]" displayFolder="" count="0" memberValueDatatype="7" unbalanced="0"/>
    <cacheHierarchy uniqueName="[Table1_2].[Priority]" caption="Priority" attribute="1" defaultMemberUniqueName="[Table1_2].[Priority].[All]" allUniqueName="[Table1_2].[Priority].[All]" dimensionUniqueName="[Table1_2]" displayFolder="" count="0" memberValueDatatype="130" unbalanced="0"/>
    <cacheHierarchy uniqueName="[Table1_2].[Issue_Type]" caption="Issue_Type" attribute="1" defaultMemberUniqueName="[Table1_2].[Issue_Type].[All]" allUniqueName="[Table1_2].[Issue_Type].[All]" dimensionUniqueName="[Table1_2]" displayFolder="" count="0" memberValueDatatype="130" unbalanced="0"/>
    <cacheHierarchy uniqueName="[Table1_2].[Status]" caption="Status" attribute="1" defaultMemberUniqueName="[Table1_2].[Status].[All]" allUniqueName="[Table1_2].[Status].[All]" dimensionUniqueName="[Table1_2]" displayFolder="" count="0" memberValueDatatype="130" unbalanced="0"/>
    <cacheHierarchy uniqueName="[Table1_2].[Resolution_Hours]" caption="Resolution_Hours" attribute="1" defaultMemberUniqueName="[Table1_2].[Resolution_Hours].[All]" allUniqueName="[Table1_2].[Resolution_Hours].[All]" dimensionUniqueName="[Table1_2]" displayFolder="" count="0" memberValueDatatype="20" unbalanced="0"/>
    <cacheHierarchy uniqueName="[Table1_2].[SLA_Target_Hours]" caption="SLA_Target_Hours" attribute="1" defaultMemberUniqueName="[Table1_2].[SLA_Target_Hours].[All]" allUniqueName="[Table1_2].[SLA_Target_Hours].[All]" dimensionUniqueName="[Table1_2]" displayFolder="" count="0" memberValueDatatype="20" unbalanced="0"/>
    <cacheHierarchy uniqueName="[Table1_2].[Customer_Rating]" caption="Customer_Rating" attribute="1" defaultMemberUniqueName="[Table1_2].[Customer_Rating].[All]" allUniqueName="[Table1_2].[Customer_Rating].[All]" dimensionUniqueName="[Table1_2]" displayFolder="" count="0" memberValueDatatype="20" unbalanced="0"/>
    <cacheHierarchy uniqueName="[Table1_2].[Escalated]" caption="Escalated" attribute="1" defaultMemberUniqueName="[Table1_2].[Escalated].[All]" allUniqueName="[Table1_2].[Escalated].[All]" dimensionUniqueName="[Table1_2]" displayFolder="" count="0" memberValueDatatype="130" unbalanced="0"/>
    <cacheHierarchy uniqueName="[Table1_2].[Channel]" caption="Channel" attribute="1" defaultMemberUniqueName="[Table1_2].[Channel].[All]" allUniqueName="[Table1_2].[Channel].[All]" dimensionUniqueName="[Table1_2]" displayFolder="" count="0" memberValueDatatype="130" unbalanced="0"/>
    <cacheHierarchy uniqueName="[Table1_2].[Data_Quality_Flag]" caption="Data_Quality_Flag" attribute="1" defaultMemberUniqueName="[Table1_2].[Data_Quality_Flag].[All]" allUniqueName="[Table1_2].[Data_Quality_Flag].[All]" dimensionUniqueName="[Table1_2]" displayFolder="" count="0" memberValueDatatype="130" unbalanced="0"/>
    <cacheHierarchy uniqueName="[Table1_2].[SLA_Status]" caption="SLA_Status" attribute="1" defaultMemberUniqueName="[Table1_2].[SLA_Status].[All]" allUniqueName="[Table1_2].[SLA_Status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Ticket_Date_only]" caption="Ticket_Date_only" attribute="1" time="1" defaultMemberUniqueName="[Table1_2].[Ticket_Date_only].[All]" allUniqueName="[Table1_2].[Ticket_Date_only].[All]" dimensionUniqueName="[Table1_2]" displayFolder="" count="0" memberValueDatatype="7" unbalanced="0"/>
    <cacheHierarchy uniqueName="[Table1_2].[Ticket_Year]" caption="Ticket_Year" attribute="1" defaultMemberUniqueName="[Table1_2].[Ticket_Year].[All]" allUniqueName="[Table1_2].[Ticket_Year].[All]" dimensionUniqueName="[Table1_2]" displayFolder="" count="0" memberValueDatatype="20" unbalanced="0"/>
    <cacheHierarchy uniqueName="[Table1_2].[Ticket_Month_Number]" caption="Ticket_Month_Number" attribute="1" defaultMemberUniqueName="[Table1_2].[Ticket_Month_Number].[All]" allUniqueName="[Table1_2].[Ticket_Month_Number].[All]" dimensionUniqueName="[Table1_2]" displayFolder="" count="0" memberValueDatatype="20" unbalanced="0"/>
    <cacheHierarchy uniqueName="[Table1_2].[Ticket_Month_ Name]" caption="Ticket_Month_ Name" attribute="1" defaultMemberUniqueName="[Table1_2].[Ticket_Month_ Name].[All]" allUniqueName="[Table1_2].[Ticket_Month_ Name].[All]" dimensionUniqueName="[Table1_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Count of Ticket_ID]" caption="Count of Ticket_ID" measure="1" displayFolder="" measureGroup="Table1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LA_Status]" caption="Count of SLA_Status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Status]" caption="Count of Status" measure="1" displayFolder="" measureGroup="Table1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solution_Hours]" caption="Sum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solution_Hours]" caption="Average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_Rating]" caption="Sum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ustomer_Rating]" caption="Average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_Rating]" caption="Count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Escalated]" caption="Count of Escalated" measure="1" displayFolder="" measureGroup="Table1_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2" uniqueName="[Table1_2]" caption="Table1_2"/>
  </dimensions>
  <measureGroups count="2">
    <measureGroup name="Table1" caption="Table1"/>
    <measureGroup name="Table1_2" caption="Table1_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45.161609027775" backgroundQuery="1" createdVersion="7" refreshedVersion="7" minRefreshableVersion="3" recordCount="0" supportSubquery="1" supportAdvancedDrill="1" xr:uid="{C69CF4E9-7EAA-4282-8ED4-9600F30E9E14}">
  <cacheSource type="external" connectionId="3"/>
  <cacheFields count="3">
    <cacheField name="[Table1_2].[Ticket_Month_ Name].[Ticket_Month_ Name]" caption="Ticket_Month_ Name" numFmtId="0" hierarchy="41" level="1">
      <sharedItems count="6">
        <s v="April"/>
        <s v="February"/>
        <s v="January"/>
        <s v="June"/>
        <s v="March"/>
        <s v="May"/>
      </sharedItems>
    </cacheField>
    <cacheField name="[Measures].[Count of Status]" caption="Count of Status" numFmtId="0" hierarchy="47" level="32767"/>
    <cacheField name="[Table1_2].[Ticket_Year].[Ticket_Year]" caption="Ticket_Year" numFmtId="0" hierarchy="39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Table1_2].[Ticket_Year].&amp;[2026]"/>
          </x15:cachedUniqueNames>
        </ext>
      </extLst>
    </cacheField>
  </cacheFields>
  <cacheHierarchies count="54">
    <cacheHierarchy uniqueName="[Table1].[Ticket_ID]" caption="Ticket_ID" attribute="1" defaultMemberUniqueName="[Table1].[Ticket_ID].[All]" allUniqueName="[Table1].[Ticket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Agent]" caption="Agent" attribute="1" defaultMemberUniqueName="[Table1].[Agent].[All]" allUniqueName="[Table1].[Agent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Ticket_Date]" caption="Ticket_Date" attribute="1" time="1" defaultMemberUniqueName="[Table1].[Ticket_Date].[All]" allUniqueName="[Table1].[Ticket_Date].[All]" dimensionUniqueName="[Table1]" displayFolder="" count="0" memberValueDatatype="7" unbalanced="0"/>
    <cacheHierarchy uniqueName="[Table1].[Resolution_Date]" caption="Resolution_Date" attribute="1" time="1" defaultMemberUniqueName="[Table1].[Resolution_Date].[All]" allUniqueName="[Table1].[Resolution_Date].[All]" dimensionUniqueName="[Table1]" displayFolder="" count="0" memberValueDatatype="7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Issue_Type]" caption="Issue_Type" attribute="1" defaultMemberUniqueName="[Table1].[Issue_Type].[All]" allUniqueName="[Table1].[Issue_Type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solution_Hours]" caption="Resolution_Hours" attribute="1" defaultMemberUniqueName="[Table1].[Resolution_Hours].[All]" allUniqueName="[Table1].[Resolution_Hours].[All]" dimensionUniqueName="[Table1]" displayFolder="" count="0" memberValueDatatype="20" unbalanced="0"/>
    <cacheHierarchy uniqueName="[Table1].[SLA_Target_Hours]" caption="SLA_Target_Hours" attribute="1" defaultMemberUniqueName="[Table1].[SLA_Target_Hours].[All]" allUniqueName="[Table1].[SLA_Target_Hours].[All]" dimensionUniqueName="[Table1]" displayFolder="" count="0" memberValueDatatype="2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20" unbalanced="0"/>
    <cacheHierarchy uniqueName="[Table1].[Escalated]" caption="Escalated" attribute="1" defaultMemberUniqueName="[Table1].[Escalated].[All]" allUniqueName="[Table1].[Escalate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Data_Quality_Flag]" caption="Data_Quality_Flag" attribute="1" defaultMemberUniqueName="[Table1].[Data_Quality_Flag].[All]" allUniqueName="[Table1].[Data_Quality_Flag].[All]" dimensionUniqueName="[Table1]" displayFolder="" count="0" memberValueDatatype="130" unbalanced="0"/>
    <cacheHierarchy uniqueName="[Table1].[SLA_Status]" caption="SLA_Status" attribute="1" defaultMemberUniqueName="[Table1].[SLA_Status].[All]" allUniqueName="[Table1].[SLA_Status].[All]" dimensionUniqueName="[Table1]" displayFolder="" count="0" memberValueDatatype="130" unbalanced="0"/>
    <cacheHierarchy uniqueName="[Table1].[Ticket_Date_only]" caption="Ticket_Date_only" attribute="1" time="1" defaultMemberUniqueName="[Table1].[Ticket_Date_only].[All]" allUniqueName="[Table1].[Ticket_Date_only].[All]" dimensionUniqueName="[Table1]" displayFolder="" count="0" memberValueDatatype="7" unbalanced="0"/>
    <cacheHierarchy uniqueName="[Table1].[Ticket_Year]" caption="Ticket_Year" attribute="1" defaultMemberUniqueName="[Table1].[Ticket_Year].[All]" allUniqueName="[Table1].[Ticket_Year].[All]" dimensionUniqueName="[Table1]" displayFolder="" count="0" memberValueDatatype="20" unbalanced="0"/>
    <cacheHierarchy uniqueName="[Table1].[Ticket_Month_Number]" caption="Ticket_Month_Number" attribute="1" defaultMemberUniqueName="[Table1].[Ticket_Month_Number].[All]" allUniqueName="[Table1].[Ticket_Month_Number].[All]" dimensionUniqueName="[Table1]" displayFolder="" count="0" memberValueDatatype="20" unbalanced="0"/>
    <cacheHierarchy uniqueName="[Table1].[Ticket_Month_ Name]" caption="Ticket_Month_ Name" attribute="1" defaultMemberUniqueName="[Table1].[Ticket_Month_ Name].[All]" allUniqueName="[Table1].[Ticket_Month_ Name].[All]" dimensionUniqueName="[Table1]" displayFolder="" count="0" memberValueDatatype="130" unbalanced="0"/>
    <cacheHierarchy uniqueName="[Table1_2].[Ticket_ID]" caption="Ticket_ID" attribute="1" defaultMemberUniqueName="[Table1_2].[Ticket_ID].[All]" allUniqueName="[Table1_2].[Ticket_ID].[All]" dimensionUniqueName="[Table1_2]" displayFolder="" count="0" memberValueDatatype="130" unbalanced="0"/>
    <cacheHierarchy uniqueName="[Table1_2].[Customer_ID]" caption="Customer_ID" attribute="1" defaultMemberUniqueName="[Table1_2].[Customer_ID].[All]" allUniqueName="[Table1_2].[Customer_ID].[All]" dimensionUniqueName="[Table1_2]" displayFolder="" count="0" memberValueDatatype="130" unbalanced="0"/>
    <cacheHierarchy uniqueName="[Table1_2].[Agent]" caption="Agent" attribute="1" defaultMemberUniqueName="[Table1_2].[Agent].[All]" allUniqueName="[Table1_2].[Agent].[All]" dimensionUniqueName="[Table1_2]" displayFolder="" count="0" memberValueDatatype="130" unbalanced="0"/>
    <cacheHierarchy uniqueName="[Table1_2].[Department]" caption="Department" attribute="1" defaultMemberUniqueName="[Table1_2].[Department].[All]" allUniqueName="[Table1_2].[Department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Ticket_Date]" caption="Ticket_Date" attribute="1" time="1" defaultMemberUniqueName="[Table1_2].[Ticket_Date].[All]" allUniqueName="[Table1_2].[Ticket_Date].[All]" dimensionUniqueName="[Table1_2]" displayFolder="" count="0" memberValueDatatype="7" unbalanced="0"/>
    <cacheHierarchy uniqueName="[Table1_2].[Resolution_Date]" caption="Resolution_Date" attribute="1" time="1" defaultMemberUniqueName="[Table1_2].[Resolution_Date].[All]" allUniqueName="[Table1_2].[Resolution_Date].[All]" dimensionUniqueName="[Table1_2]" displayFolder="" count="0" memberValueDatatype="7" unbalanced="0"/>
    <cacheHierarchy uniqueName="[Table1_2].[Priority]" caption="Priority" attribute="1" defaultMemberUniqueName="[Table1_2].[Priority].[All]" allUniqueName="[Table1_2].[Priority].[All]" dimensionUniqueName="[Table1_2]" displayFolder="" count="0" memberValueDatatype="130" unbalanced="0"/>
    <cacheHierarchy uniqueName="[Table1_2].[Issue_Type]" caption="Issue_Type" attribute="1" defaultMemberUniqueName="[Table1_2].[Issue_Type].[All]" allUniqueName="[Table1_2].[Issue_Type].[All]" dimensionUniqueName="[Table1_2]" displayFolder="" count="0" memberValueDatatype="130" unbalanced="0"/>
    <cacheHierarchy uniqueName="[Table1_2].[Status]" caption="Status" attribute="1" defaultMemberUniqueName="[Table1_2].[Status].[All]" allUniqueName="[Table1_2].[Status].[All]" dimensionUniqueName="[Table1_2]" displayFolder="" count="0" memberValueDatatype="130" unbalanced="0"/>
    <cacheHierarchy uniqueName="[Table1_2].[Resolution_Hours]" caption="Resolution_Hours" attribute="1" defaultMemberUniqueName="[Table1_2].[Resolution_Hours].[All]" allUniqueName="[Table1_2].[Resolution_Hours].[All]" dimensionUniqueName="[Table1_2]" displayFolder="" count="0" memberValueDatatype="20" unbalanced="0"/>
    <cacheHierarchy uniqueName="[Table1_2].[SLA_Target_Hours]" caption="SLA_Target_Hours" attribute="1" defaultMemberUniqueName="[Table1_2].[SLA_Target_Hours].[All]" allUniqueName="[Table1_2].[SLA_Target_Hours].[All]" dimensionUniqueName="[Table1_2]" displayFolder="" count="0" memberValueDatatype="20" unbalanced="0"/>
    <cacheHierarchy uniqueName="[Table1_2].[Customer_Rating]" caption="Customer_Rating" attribute="1" defaultMemberUniqueName="[Table1_2].[Customer_Rating].[All]" allUniqueName="[Table1_2].[Customer_Rating].[All]" dimensionUniqueName="[Table1_2]" displayFolder="" count="0" memberValueDatatype="20" unbalanced="0"/>
    <cacheHierarchy uniqueName="[Table1_2].[Escalated]" caption="Escalated" attribute="1" defaultMemberUniqueName="[Table1_2].[Escalated].[All]" allUniqueName="[Table1_2].[Escalated].[All]" dimensionUniqueName="[Table1_2]" displayFolder="" count="0" memberValueDatatype="130" unbalanced="0"/>
    <cacheHierarchy uniqueName="[Table1_2].[Channel]" caption="Channel" attribute="1" defaultMemberUniqueName="[Table1_2].[Channel].[All]" allUniqueName="[Table1_2].[Channel].[All]" dimensionUniqueName="[Table1_2]" displayFolder="" count="0" memberValueDatatype="130" unbalanced="0"/>
    <cacheHierarchy uniqueName="[Table1_2].[Data_Quality_Flag]" caption="Data_Quality_Flag" attribute="1" defaultMemberUniqueName="[Table1_2].[Data_Quality_Flag].[All]" allUniqueName="[Table1_2].[Data_Quality_Flag].[All]" dimensionUniqueName="[Table1_2]" displayFolder="" count="0" memberValueDatatype="130" unbalanced="0"/>
    <cacheHierarchy uniqueName="[Table1_2].[SLA_Status]" caption="SLA_Status" attribute="1" defaultMemberUniqueName="[Table1_2].[SLA_Status].[All]" allUniqueName="[Table1_2].[SLA_Status].[All]" dimensionUniqueName="[Table1_2]" displayFolder="" count="0" memberValueDatatype="130" unbalanced="0"/>
    <cacheHierarchy uniqueName="[Table1_2].[Ticket_Date_only]" caption="Ticket_Date_only" attribute="1" time="1" defaultMemberUniqueName="[Table1_2].[Ticket_Date_only].[All]" allUniqueName="[Table1_2].[Ticket_Date_only].[All]" dimensionUniqueName="[Table1_2]" displayFolder="" count="0" memberValueDatatype="7" unbalanced="0"/>
    <cacheHierarchy uniqueName="[Table1_2].[Ticket_Year]" caption="Ticket_Year" attribute="1" defaultMemberUniqueName="[Table1_2].[Ticket_Year].[All]" allUniqueName="[Table1_2].[Ticket_Year].[All]" dimensionUniqueName="[Table1_2]" displayFolder="" count="2" memberValueDatatype="20" unbalanced="0">
      <fieldsUsage count="2">
        <fieldUsage x="-1"/>
        <fieldUsage x="2"/>
      </fieldsUsage>
    </cacheHierarchy>
    <cacheHierarchy uniqueName="[Table1_2].[Ticket_Month_Number]" caption="Ticket_Month_Number" attribute="1" defaultMemberUniqueName="[Table1_2].[Ticket_Month_Number].[All]" allUniqueName="[Table1_2].[Ticket_Month_Number].[All]" dimensionUniqueName="[Table1_2]" displayFolder="" count="0" memberValueDatatype="20" unbalanced="0"/>
    <cacheHierarchy uniqueName="[Table1_2].[Ticket_Month_ Name]" caption="Ticket_Month_ Name" attribute="1" defaultMemberUniqueName="[Table1_2].[Ticket_Month_ Name].[All]" allUniqueName="[Table1_2].[Ticket_Month_ Name].[All]" dimensionUniqueName="[Table1_2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Count of Ticket_ID]" caption="Count of Ticket_ID" measure="1" displayFolder="" measureGroup="Table1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LA_Status]" caption="Count of SLA_Status" measure="1" displayFolder="" measureGroup="Table1_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Status]" caption="Count of Status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solution_Hours]" caption="Sum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solution_Hours]" caption="Average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_Rating]" caption="Sum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ustomer_Rating]" caption="Average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_Rating]" caption="Count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Escalated]" caption="Count of Escalated" measure="1" displayFolder="" measureGroup="Table1_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2" uniqueName="[Table1_2]" caption="Table1_2"/>
  </dimensions>
  <measureGroups count="2">
    <measureGroup name="Table1" caption="Table1"/>
    <measureGroup name="Table1_2" caption="Table1_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45.614410648152" backgroundQuery="1" createdVersion="7" refreshedVersion="7" minRefreshableVersion="3" recordCount="0" supportSubquery="1" supportAdvancedDrill="1" xr:uid="{6C53B995-83D9-457D-98CA-44876B805DFA}">
  <cacheSource type="external" connectionId="3"/>
  <cacheFields count="2">
    <cacheField name="[Table1_2].[Escalated].[Escalated]" caption="Escalated" numFmtId="0" hierarchy="34" level="1">
      <sharedItems count="2">
        <s v="No"/>
        <s v="Yes"/>
      </sharedItems>
    </cacheField>
    <cacheField name="[Measures].[Count of Escalated]" caption="Count of Escalated" numFmtId="0" hierarchy="53" level="32767"/>
  </cacheFields>
  <cacheHierarchies count="54">
    <cacheHierarchy uniqueName="[Table1].[Ticket_ID]" caption="Ticket_ID" attribute="1" defaultMemberUniqueName="[Table1].[Ticket_ID].[All]" allUniqueName="[Table1].[Ticket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Agent]" caption="Agent" attribute="1" defaultMemberUniqueName="[Table1].[Agent].[All]" allUniqueName="[Table1].[Agent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Ticket_Date]" caption="Ticket_Date" attribute="1" time="1" defaultMemberUniqueName="[Table1].[Ticket_Date].[All]" allUniqueName="[Table1].[Ticket_Date].[All]" dimensionUniqueName="[Table1]" displayFolder="" count="0" memberValueDatatype="7" unbalanced="0"/>
    <cacheHierarchy uniqueName="[Table1].[Resolution_Date]" caption="Resolution_Date" attribute="1" time="1" defaultMemberUniqueName="[Table1].[Resolution_Date].[All]" allUniqueName="[Table1].[Resolution_Date].[All]" dimensionUniqueName="[Table1]" displayFolder="" count="0" memberValueDatatype="7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Issue_Type]" caption="Issue_Type" attribute="1" defaultMemberUniqueName="[Table1].[Issue_Type].[All]" allUniqueName="[Table1].[Issue_Type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solution_Hours]" caption="Resolution_Hours" attribute="1" defaultMemberUniqueName="[Table1].[Resolution_Hours].[All]" allUniqueName="[Table1].[Resolution_Hours].[All]" dimensionUniqueName="[Table1]" displayFolder="" count="0" memberValueDatatype="20" unbalanced="0"/>
    <cacheHierarchy uniqueName="[Table1].[SLA_Target_Hours]" caption="SLA_Target_Hours" attribute="1" defaultMemberUniqueName="[Table1].[SLA_Target_Hours].[All]" allUniqueName="[Table1].[SLA_Target_Hours].[All]" dimensionUniqueName="[Table1]" displayFolder="" count="0" memberValueDatatype="2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20" unbalanced="0"/>
    <cacheHierarchy uniqueName="[Table1].[Escalated]" caption="Escalated" attribute="1" defaultMemberUniqueName="[Table1].[Escalated].[All]" allUniqueName="[Table1].[Escalate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Data_Quality_Flag]" caption="Data_Quality_Flag" attribute="1" defaultMemberUniqueName="[Table1].[Data_Quality_Flag].[All]" allUniqueName="[Table1].[Data_Quality_Flag].[All]" dimensionUniqueName="[Table1]" displayFolder="" count="0" memberValueDatatype="130" unbalanced="0"/>
    <cacheHierarchy uniqueName="[Table1].[SLA_Status]" caption="SLA_Status" attribute="1" defaultMemberUniqueName="[Table1].[SLA_Status].[All]" allUniqueName="[Table1].[SLA_Status].[All]" dimensionUniqueName="[Table1]" displayFolder="" count="0" memberValueDatatype="130" unbalanced="0"/>
    <cacheHierarchy uniqueName="[Table1].[Ticket_Date_only]" caption="Ticket_Date_only" attribute="1" time="1" defaultMemberUniqueName="[Table1].[Ticket_Date_only].[All]" allUniqueName="[Table1].[Ticket_Date_only].[All]" dimensionUniqueName="[Table1]" displayFolder="" count="0" memberValueDatatype="7" unbalanced="0"/>
    <cacheHierarchy uniqueName="[Table1].[Ticket_Year]" caption="Ticket_Year" attribute="1" defaultMemberUniqueName="[Table1].[Ticket_Year].[All]" allUniqueName="[Table1].[Ticket_Year].[All]" dimensionUniqueName="[Table1]" displayFolder="" count="0" memberValueDatatype="20" unbalanced="0"/>
    <cacheHierarchy uniqueName="[Table1].[Ticket_Month_Number]" caption="Ticket_Month_Number" attribute="1" defaultMemberUniqueName="[Table1].[Ticket_Month_Number].[All]" allUniqueName="[Table1].[Ticket_Month_Number].[All]" dimensionUniqueName="[Table1]" displayFolder="" count="0" memberValueDatatype="20" unbalanced="0"/>
    <cacheHierarchy uniqueName="[Table1].[Ticket_Month_ Name]" caption="Ticket_Month_ Name" attribute="1" defaultMemberUniqueName="[Table1].[Ticket_Month_ Name].[All]" allUniqueName="[Table1].[Ticket_Month_ Name].[All]" dimensionUniqueName="[Table1]" displayFolder="" count="0" memberValueDatatype="130" unbalanced="0"/>
    <cacheHierarchy uniqueName="[Table1_2].[Ticket_ID]" caption="Ticket_ID" attribute="1" defaultMemberUniqueName="[Table1_2].[Ticket_ID].[All]" allUniqueName="[Table1_2].[Ticket_ID].[All]" dimensionUniqueName="[Table1_2]" displayFolder="" count="0" memberValueDatatype="130" unbalanced="0"/>
    <cacheHierarchy uniqueName="[Table1_2].[Customer_ID]" caption="Customer_ID" attribute="1" defaultMemberUniqueName="[Table1_2].[Customer_ID].[All]" allUniqueName="[Table1_2].[Customer_ID].[All]" dimensionUniqueName="[Table1_2]" displayFolder="" count="0" memberValueDatatype="130" unbalanced="0"/>
    <cacheHierarchy uniqueName="[Table1_2].[Agent]" caption="Agent" attribute="1" defaultMemberUniqueName="[Table1_2].[Agent].[All]" allUniqueName="[Table1_2].[Agent].[All]" dimensionUniqueName="[Table1_2]" displayFolder="" count="0" memberValueDatatype="130" unbalanced="0"/>
    <cacheHierarchy uniqueName="[Table1_2].[Department]" caption="Department" attribute="1" defaultMemberUniqueName="[Table1_2].[Department].[All]" allUniqueName="[Table1_2].[Department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Ticket_Date]" caption="Ticket_Date" attribute="1" time="1" defaultMemberUniqueName="[Table1_2].[Ticket_Date].[All]" allUniqueName="[Table1_2].[Ticket_Date].[All]" dimensionUniqueName="[Table1_2]" displayFolder="" count="0" memberValueDatatype="7" unbalanced="0"/>
    <cacheHierarchy uniqueName="[Table1_2].[Resolution_Date]" caption="Resolution_Date" attribute="1" time="1" defaultMemberUniqueName="[Table1_2].[Resolution_Date].[All]" allUniqueName="[Table1_2].[Resolution_Date].[All]" dimensionUniqueName="[Table1_2]" displayFolder="" count="0" memberValueDatatype="7" unbalanced="0"/>
    <cacheHierarchy uniqueName="[Table1_2].[Priority]" caption="Priority" attribute="1" defaultMemberUniqueName="[Table1_2].[Priority].[All]" allUniqueName="[Table1_2].[Priority].[All]" dimensionUniqueName="[Table1_2]" displayFolder="" count="0" memberValueDatatype="130" unbalanced="0"/>
    <cacheHierarchy uniqueName="[Table1_2].[Issue_Type]" caption="Issue_Type" attribute="1" defaultMemberUniqueName="[Table1_2].[Issue_Type].[All]" allUniqueName="[Table1_2].[Issue_Type].[All]" dimensionUniqueName="[Table1_2]" displayFolder="" count="0" memberValueDatatype="130" unbalanced="0"/>
    <cacheHierarchy uniqueName="[Table1_2].[Status]" caption="Status" attribute="1" defaultMemberUniqueName="[Table1_2].[Status].[All]" allUniqueName="[Table1_2].[Status].[All]" dimensionUniqueName="[Table1_2]" displayFolder="" count="0" memberValueDatatype="130" unbalanced="0"/>
    <cacheHierarchy uniqueName="[Table1_2].[Resolution_Hours]" caption="Resolution_Hours" attribute="1" defaultMemberUniqueName="[Table1_2].[Resolution_Hours].[All]" allUniqueName="[Table1_2].[Resolution_Hours].[All]" dimensionUniqueName="[Table1_2]" displayFolder="" count="0" memberValueDatatype="20" unbalanced="0"/>
    <cacheHierarchy uniqueName="[Table1_2].[SLA_Target_Hours]" caption="SLA_Target_Hours" attribute="1" defaultMemberUniqueName="[Table1_2].[SLA_Target_Hours].[All]" allUniqueName="[Table1_2].[SLA_Target_Hours].[All]" dimensionUniqueName="[Table1_2]" displayFolder="" count="0" memberValueDatatype="20" unbalanced="0"/>
    <cacheHierarchy uniqueName="[Table1_2].[Customer_Rating]" caption="Customer_Rating" attribute="1" defaultMemberUniqueName="[Table1_2].[Customer_Rating].[All]" allUniqueName="[Table1_2].[Customer_Rating].[All]" dimensionUniqueName="[Table1_2]" displayFolder="" count="0" memberValueDatatype="20" unbalanced="0"/>
    <cacheHierarchy uniqueName="[Table1_2].[Escalated]" caption="Escalated" attribute="1" defaultMemberUniqueName="[Table1_2].[Escalated].[All]" allUniqueName="[Table1_2].[Escalated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Channel]" caption="Channel" attribute="1" defaultMemberUniqueName="[Table1_2].[Channel].[All]" allUniqueName="[Table1_2].[Channel].[All]" dimensionUniqueName="[Table1_2]" displayFolder="" count="0" memberValueDatatype="130" unbalanced="0"/>
    <cacheHierarchy uniqueName="[Table1_2].[Data_Quality_Flag]" caption="Data_Quality_Flag" attribute="1" defaultMemberUniqueName="[Table1_2].[Data_Quality_Flag].[All]" allUniqueName="[Table1_2].[Data_Quality_Flag].[All]" dimensionUniqueName="[Table1_2]" displayFolder="" count="0" memberValueDatatype="130" unbalanced="0"/>
    <cacheHierarchy uniqueName="[Table1_2].[SLA_Status]" caption="SLA_Status" attribute="1" defaultMemberUniqueName="[Table1_2].[SLA_Status].[All]" allUniqueName="[Table1_2].[SLA_Status].[All]" dimensionUniqueName="[Table1_2]" displayFolder="" count="0" memberValueDatatype="130" unbalanced="0"/>
    <cacheHierarchy uniqueName="[Table1_2].[Ticket_Date_only]" caption="Ticket_Date_only" attribute="1" time="1" defaultMemberUniqueName="[Table1_2].[Ticket_Date_only].[All]" allUniqueName="[Table1_2].[Ticket_Date_only].[All]" dimensionUniqueName="[Table1_2]" displayFolder="" count="0" memberValueDatatype="7" unbalanced="0"/>
    <cacheHierarchy uniqueName="[Table1_2].[Ticket_Year]" caption="Ticket_Year" attribute="1" defaultMemberUniqueName="[Table1_2].[Ticket_Year].[All]" allUniqueName="[Table1_2].[Ticket_Year].[All]" dimensionUniqueName="[Table1_2]" displayFolder="" count="0" memberValueDatatype="20" unbalanced="0"/>
    <cacheHierarchy uniqueName="[Table1_2].[Ticket_Month_Number]" caption="Ticket_Month_Number" attribute="1" defaultMemberUniqueName="[Table1_2].[Ticket_Month_Number].[All]" allUniqueName="[Table1_2].[Ticket_Month_Number].[All]" dimensionUniqueName="[Table1_2]" displayFolder="" count="0" memberValueDatatype="20" unbalanced="0"/>
    <cacheHierarchy uniqueName="[Table1_2].[Ticket_Month_ Name]" caption="Ticket_Month_ Name" attribute="1" defaultMemberUniqueName="[Table1_2].[Ticket_Month_ Name].[All]" allUniqueName="[Table1_2].[Ticket_Month_ Name].[All]" dimensionUniqueName="[Table1_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Count of Ticket_ID]" caption="Count of Ticket_ID" measure="1" displayFolder="" measureGroup="Table1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LA_Status]" caption="Count of SLA_Status" measure="1" displayFolder="" measureGroup="Table1_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Status]" caption="Count of Status" measure="1" displayFolder="" measureGroup="Table1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solution_Hours]" caption="Sum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solution_Hours]" caption="Average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_Rating]" caption="Sum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ustomer_Rating]" caption="Average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_Rating]" caption="Count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Escalated]" caption="Count of Escalated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2" uniqueName="[Table1_2]" caption="Table1_2"/>
  </dimensions>
  <measureGroups count="2">
    <measureGroup name="Table1" caption="Table1"/>
    <measureGroup name="Table1_2" caption="Table1_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45.632021874997" backgroundQuery="1" createdVersion="7" refreshedVersion="7" minRefreshableVersion="3" recordCount="0" supportSubquery="1" supportAdvancedDrill="1" xr:uid="{D115BB57-E037-4370-9439-212FD5E930EE}">
  <cacheSource type="external" connectionId="3"/>
  <cacheFields count="3">
    <cacheField name="[Table1_2].[Customer_Rating].[Customer_Rating]" caption="Customer_Rating" numFmtId="0" hierarchy="33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Table1_2].[Customer_Rating].&amp;[1]"/>
            <x15:cachedUniqueName index="1" name="[Table1_2].[Customer_Rating].&amp;[2]"/>
            <x15:cachedUniqueName index="2" name="[Table1_2].[Customer_Rating].&amp;[3]"/>
            <x15:cachedUniqueName index="3" name="[Table1_2].[Customer_Rating].&amp;[4]"/>
            <x15:cachedUniqueName index="4" name="[Table1_2].[Customer_Rating].&amp;[5]"/>
          </x15:cachedUniqueNames>
        </ext>
      </extLst>
    </cacheField>
    <cacheField name="[Measures].[Average of Customer_Rating]" caption="Average of Customer_Rating" numFmtId="0" hierarchy="51" level="32767"/>
    <cacheField name="[Measures].[Count of Customer_Rating]" caption="Count of Customer_Rating" numFmtId="0" hierarchy="52" level="32767"/>
  </cacheFields>
  <cacheHierarchies count="54">
    <cacheHierarchy uniqueName="[Table1].[Ticket_ID]" caption="Ticket_ID" attribute="1" defaultMemberUniqueName="[Table1].[Ticket_ID].[All]" allUniqueName="[Table1].[Ticket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Agent]" caption="Agent" attribute="1" defaultMemberUniqueName="[Table1].[Agent].[All]" allUniqueName="[Table1].[Agent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Ticket_Date]" caption="Ticket_Date" attribute="1" time="1" defaultMemberUniqueName="[Table1].[Ticket_Date].[All]" allUniqueName="[Table1].[Ticket_Date].[All]" dimensionUniqueName="[Table1]" displayFolder="" count="0" memberValueDatatype="7" unbalanced="0"/>
    <cacheHierarchy uniqueName="[Table1].[Resolution_Date]" caption="Resolution_Date" attribute="1" time="1" defaultMemberUniqueName="[Table1].[Resolution_Date].[All]" allUniqueName="[Table1].[Resolution_Date].[All]" dimensionUniqueName="[Table1]" displayFolder="" count="0" memberValueDatatype="7" unbalanced="0"/>
    <cacheHierarchy uniqueName="[Table1].[Priority]" caption="Priority" attribute="1" defaultMemberUniqueName="[Table1].[Priority].[All]" allUniqueName="[Table1].[Priority].[All]" dimensionUniqueName="[Table1]" displayFolder="" count="0" memberValueDatatype="130" unbalanced="0"/>
    <cacheHierarchy uniqueName="[Table1].[Issue_Type]" caption="Issue_Type" attribute="1" defaultMemberUniqueName="[Table1].[Issue_Type].[All]" allUniqueName="[Table1].[Issue_Type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Resolution_Hours]" caption="Resolution_Hours" attribute="1" defaultMemberUniqueName="[Table1].[Resolution_Hours].[All]" allUniqueName="[Table1].[Resolution_Hours].[All]" dimensionUniqueName="[Table1]" displayFolder="" count="0" memberValueDatatype="20" unbalanced="0"/>
    <cacheHierarchy uniqueName="[Table1].[SLA_Target_Hours]" caption="SLA_Target_Hours" attribute="1" defaultMemberUniqueName="[Table1].[SLA_Target_Hours].[All]" allUniqueName="[Table1].[SLA_Target_Hours].[All]" dimensionUniqueName="[Table1]" displayFolder="" count="0" memberValueDatatype="2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20" unbalanced="0"/>
    <cacheHierarchy uniqueName="[Table1].[Escalated]" caption="Escalated" attribute="1" defaultMemberUniqueName="[Table1].[Escalated].[All]" allUniqueName="[Table1].[Escalated].[All]" dimensionUniqueName="[Table1]" displayFolder="" count="0" memberValueDatatype="130" unbalanced="0"/>
    <cacheHierarchy uniqueName="[Table1].[Channel]" caption="Channel" attribute="1" defaultMemberUniqueName="[Table1].[Channel].[All]" allUniqueName="[Table1].[Channel].[All]" dimensionUniqueName="[Table1]" displayFolder="" count="0" memberValueDatatype="130" unbalanced="0"/>
    <cacheHierarchy uniqueName="[Table1].[Data_Quality_Flag]" caption="Data_Quality_Flag" attribute="1" defaultMemberUniqueName="[Table1].[Data_Quality_Flag].[All]" allUniqueName="[Table1].[Data_Quality_Flag].[All]" dimensionUniqueName="[Table1]" displayFolder="" count="0" memberValueDatatype="130" unbalanced="0"/>
    <cacheHierarchy uniqueName="[Table1].[SLA_Status]" caption="SLA_Status" attribute="1" defaultMemberUniqueName="[Table1].[SLA_Status].[All]" allUniqueName="[Table1].[SLA_Status].[All]" dimensionUniqueName="[Table1]" displayFolder="" count="0" memberValueDatatype="130" unbalanced="0"/>
    <cacheHierarchy uniqueName="[Table1].[Ticket_Date_only]" caption="Ticket_Date_only" attribute="1" time="1" defaultMemberUniqueName="[Table1].[Ticket_Date_only].[All]" allUniqueName="[Table1].[Ticket_Date_only].[All]" dimensionUniqueName="[Table1]" displayFolder="" count="0" memberValueDatatype="7" unbalanced="0"/>
    <cacheHierarchy uniqueName="[Table1].[Ticket_Year]" caption="Ticket_Year" attribute="1" defaultMemberUniqueName="[Table1].[Ticket_Year].[All]" allUniqueName="[Table1].[Ticket_Year].[All]" dimensionUniqueName="[Table1]" displayFolder="" count="0" memberValueDatatype="20" unbalanced="0"/>
    <cacheHierarchy uniqueName="[Table1].[Ticket_Month_Number]" caption="Ticket_Month_Number" attribute="1" defaultMemberUniqueName="[Table1].[Ticket_Month_Number].[All]" allUniqueName="[Table1].[Ticket_Month_Number].[All]" dimensionUniqueName="[Table1]" displayFolder="" count="0" memberValueDatatype="20" unbalanced="0"/>
    <cacheHierarchy uniqueName="[Table1].[Ticket_Month_ Name]" caption="Ticket_Month_ Name" attribute="1" defaultMemberUniqueName="[Table1].[Ticket_Month_ Name].[All]" allUniqueName="[Table1].[Ticket_Month_ Name].[All]" dimensionUniqueName="[Table1]" displayFolder="" count="0" memberValueDatatype="130" unbalanced="0"/>
    <cacheHierarchy uniqueName="[Table1_2].[Ticket_ID]" caption="Ticket_ID" attribute="1" defaultMemberUniqueName="[Table1_2].[Ticket_ID].[All]" allUniqueName="[Table1_2].[Ticket_ID].[All]" dimensionUniqueName="[Table1_2]" displayFolder="" count="0" memberValueDatatype="130" unbalanced="0"/>
    <cacheHierarchy uniqueName="[Table1_2].[Customer_ID]" caption="Customer_ID" attribute="1" defaultMemberUniqueName="[Table1_2].[Customer_ID].[All]" allUniqueName="[Table1_2].[Customer_ID].[All]" dimensionUniqueName="[Table1_2]" displayFolder="" count="0" memberValueDatatype="130" unbalanced="0"/>
    <cacheHierarchy uniqueName="[Table1_2].[Agent]" caption="Agent" attribute="1" defaultMemberUniqueName="[Table1_2].[Agent].[All]" allUniqueName="[Table1_2].[Agent].[All]" dimensionUniqueName="[Table1_2]" displayFolder="" count="0" memberValueDatatype="130" unbalanced="0"/>
    <cacheHierarchy uniqueName="[Table1_2].[Department]" caption="Department" attribute="1" defaultMemberUniqueName="[Table1_2].[Department].[All]" allUniqueName="[Table1_2].[Department].[All]" dimensionUniqueName="[Table1_2]" displayFolder="" count="0" memberValueDatatype="130" unbalanced="0"/>
    <cacheHierarchy uniqueName="[Table1_2].[Region]" caption="Region" attribute="1" defaultMemberUniqueName="[Table1_2].[Region].[All]" allUniqueName="[Table1_2].[Region].[All]" dimensionUniqueName="[Table1_2]" displayFolder="" count="0" memberValueDatatype="130" unbalanced="0"/>
    <cacheHierarchy uniqueName="[Table1_2].[Ticket_Date]" caption="Ticket_Date" attribute="1" time="1" defaultMemberUniqueName="[Table1_2].[Ticket_Date].[All]" allUniqueName="[Table1_2].[Ticket_Date].[All]" dimensionUniqueName="[Table1_2]" displayFolder="" count="0" memberValueDatatype="7" unbalanced="0"/>
    <cacheHierarchy uniqueName="[Table1_2].[Resolution_Date]" caption="Resolution_Date" attribute="1" time="1" defaultMemberUniqueName="[Table1_2].[Resolution_Date].[All]" allUniqueName="[Table1_2].[Resolution_Date].[All]" dimensionUniqueName="[Table1_2]" displayFolder="" count="0" memberValueDatatype="7" unbalanced="0"/>
    <cacheHierarchy uniqueName="[Table1_2].[Priority]" caption="Priority" attribute="1" defaultMemberUniqueName="[Table1_2].[Priority].[All]" allUniqueName="[Table1_2].[Priority].[All]" dimensionUniqueName="[Table1_2]" displayFolder="" count="0" memberValueDatatype="130" unbalanced="0"/>
    <cacheHierarchy uniqueName="[Table1_2].[Issue_Type]" caption="Issue_Type" attribute="1" defaultMemberUniqueName="[Table1_2].[Issue_Type].[All]" allUniqueName="[Table1_2].[Issue_Type].[All]" dimensionUniqueName="[Table1_2]" displayFolder="" count="0" memberValueDatatype="130" unbalanced="0"/>
    <cacheHierarchy uniqueName="[Table1_2].[Status]" caption="Status" attribute="1" defaultMemberUniqueName="[Table1_2].[Status].[All]" allUniqueName="[Table1_2].[Status].[All]" dimensionUniqueName="[Table1_2]" displayFolder="" count="0" memberValueDatatype="130" unbalanced="0"/>
    <cacheHierarchy uniqueName="[Table1_2].[Resolution_Hours]" caption="Resolution_Hours" attribute="1" defaultMemberUniqueName="[Table1_2].[Resolution_Hours].[All]" allUniqueName="[Table1_2].[Resolution_Hours].[All]" dimensionUniqueName="[Table1_2]" displayFolder="" count="0" memberValueDatatype="20" unbalanced="0"/>
    <cacheHierarchy uniqueName="[Table1_2].[SLA_Target_Hours]" caption="SLA_Target_Hours" attribute="1" defaultMemberUniqueName="[Table1_2].[SLA_Target_Hours].[All]" allUniqueName="[Table1_2].[SLA_Target_Hours].[All]" dimensionUniqueName="[Table1_2]" displayFolder="" count="0" memberValueDatatype="20" unbalanced="0"/>
    <cacheHierarchy uniqueName="[Table1_2].[Customer_Rating]" caption="Customer_Rating" attribute="1" defaultMemberUniqueName="[Table1_2].[Customer_Rating].[All]" allUniqueName="[Table1_2].[Customer_Rating].[All]" dimensionUniqueName="[Table1_2]" displayFolder="" count="2" memberValueDatatype="20" unbalanced="0">
      <fieldsUsage count="2">
        <fieldUsage x="-1"/>
        <fieldUsage x="0"/>
      </fieldsUsage>
    </cacheHierarchy>
    <cacheHierarchy uniqueName="[Table1_2].[Escalated]" caption="Escalated" attribute="1" defaultMemberUniqueName="[Table1_2].[Escalated].[All]" allUniqueName="[Table1_2].[Escalated].[All]" dimensionUniqueName="[Table1_2]" displayFolder="" count="0" memberValueDatatype="130" unbalanced="0"/>
    <cacheHierarchy uniqueName="[Table1_2].[Channel]" caption="Channel" attribute="1" defaultMemberUniqueName="[Table1_2].[Channel].[All]" allUniqueName="[Table1_2].[Channel].[All]" dimensionUniqueName="[Table1_2]" displayFolder="" count="0" memberValueDatatype="130" unbalanced="0"/>
    <cacheHierarchy uniqueName="[Table1_2].[Data_Quality_Flag]" caption="Data_Quality_Flag" attribute="1" defaultMemberUniqueName="[Table1_2].[Data_Quality_Flag].[All]" allUniqueName="[Table1_2].[Data_Quality_Flag].[All]" dimensionUniqueName="[Table1_2]" displayFolder="" count="0" memberValueDatatype="130" unbalanced="0"/>
    <cacheHierarchy uniqueName="[Table1_2].[SLA_Status]" caption="SLA_Status" attribute="1" defaultMemberUniqueName="[Table1_2].[SLA_Status].[All]" allUniqueName="[Table1_2].[SLA_Status].[All]" dimensionUniqueName="[Table1_2]" displayFolder="" count="0" memberValueDatatype="130" unbalanced="0"/>
    <cacheHierarchy uniqueName="[Table1_2].[Ticket_Date_only]" caption="Ticket_Date_only" attribute="1" time="1" defaultMemberUniqueName="[Table1_2].[Ticket_Date_only].[All]" allUniqueName="[Table1_2].[Ticket_Date_only].[All]" dimensionUniqueName="[Table1_2]" displayFolder="" count="0" memberValueDatatype="7" unbalanced="0"/>
    <cacheHierarchy uniqueName="[Table1_2].[Ticket_Year]" caption="Ticket_Year" attribute="1" defaultMemberUniqueName="[Table1_2].[Ticket_Year].[All]" allUniqueName="[Table1_2].[Ticket_Year].[All]" dimensionUniqueName="[Table1_2]" displayFolder="" count="0" memberValueDatatype="20" unbalanced="0"/>
    <cacheHierarchy uniqueName="[Table1_2].[Ticket_Month_Number]" caption="Ticket_Month_Number" attribute="1" defaultMemberUniqueName="[Table1_2].[Ticket_Month_Number].[All]" allUniqueName="[Table1_2].[Ticket_Month_Number].[All]" dimensionUniqueName="[Table1_2]" displayFolder="" count="0" memberValueDatatype="20" unbalanced="0"/>
    <cacheHierarchy uniqueName="[Table1_2].[Ticket_Month_ Name]" caption="Ticket_Month_ Name" attribute="1" defaultMemberUniqueName="[Table1_2].[Ticket_Month_ Name].[All]" allUniqueName="[Table1_2].[Ticket_Month_ Name].[All]" dimensionUniqueName="[Table1_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Count of Ticket_ID]" caption="Count of Ticket_ID" measure="1" displayFolder="" measureGroup="Table1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LA_Status]" caption="Count of SLA_Status" measure="1" displayFolder="" measureGroup="Table1_2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Status]" caption="Count of Status" measure="1" displayFolder="" measureGroup="Table1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solution_Hours]" caption="Sum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solution_Hours]" caption="Average of Resolution_Hours" measure="1" displayFolder="" measureGroup="Table1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_Rating]" caption="Sum of Customer_Rating" measure="1" displayFolder="" measureGroup="Table1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ustomer_Rating]" caption="Average of Customer_Rating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_Rating]" caption="Count of Customer_Rating" measure="1" displayFolder="" measureGroup="Table1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Escalated]" caption="Count of Escalated" measure="1" displayFolder="" measureGroup="Table1_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_2" uniqueName="[Table1_2]" caption="Table1_2"/>
  </dimensions>
  <measureGroups count="2">
    <measureGroup name="Table1" caption="Table1"/>
    <measureGroup name="Table1_2" caption="Table1_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15831-B37A-4FCB-A0FE-F1F1593D1100}" name="PivotTable8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Escalation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Escalated" fld="1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2_Cognizant_cleaning_working -copy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F6DD0-ED4B-4C3C-8B51-303344B94F17}" name="PivotTable7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_Rating">
  <location ref="A3:C9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ustomer_Rating" fld="1" subtotal="average" baseField="0" baseItem="0"/>
    <dataField name="Count of Customer_Rating" fld="2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2_Cognizant_cleaning_working -copy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6CAD7-7AB7-4B2B-986A-2C004AA10CF7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Region">
  <location ref="A3:D9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ustomer_Rating" fld="3" subtotal="average" baseField="0" baseItem="0"/>
    <dataField name="Average of Resolution_Hours" fld="2" subtotal="average" baseField="0" baseItem="0"/>
    <dataField name="Count of Status" fld="1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2_Cognizant_cleaning_working -copy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5FE97-20C3-4F0D-A17D-717DEC20D3F2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">
  <location ref="A3:D7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tatus" fld="0" subtotal="count" baseField="0" baseItem="0"/>
    <dataField name="Average of Customer_Rating" fld="2" subtotal="average" baseField="0" baseItem="0"/>
    <dataField name="Average of Resolution_Hours" fld="1" subtotal="average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2_Cognizant_cleaning_working -copy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87F04-AA92-4AB6-A8C6-31774DF7ADCC}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gent">
  <location ref="A3:D10" firstHeaderRow="0" firstDataRow="1" firstDataCol="1"/>
  <pivotFields count="4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5"/>
    </i>
    <i>
      <x v="2"/>
    </i>
    <i>
      <x v="3"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LA_Status" fld="3" subtotal="count" baseField="0" baseItem="0"/>
    <dataField name="Average of Customer_Rating" fld="2" subtotal="average" baseField="0" baseItem="0"/>
    <dataField name="Average of Resolution_Hours" fld="1" subtotal="average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Resolution_Hour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2_Cognizant_cleaning_working -copy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899B9-0287-40FB-9320-E57C23939CCE}" name="pt_Ticket_Status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tatus">
  <location ref="A3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_ID" fld="0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2_Cognizant_cleaning_working -copy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24122-C2CE-44D3-A831-C09656BA9160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LA_Status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LA_Status" fld="1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2_Cognizant_cleaning_working -copy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F22B2-539B-43C6-BCAB-9ED6BD4F9BEB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icket_Month_Name">
  <location ref="A3:C11" firstHeaderRow="1" firstDataRow="2" firstDataCol="1"/>
  <pivotFields count="3">
    <pivotField axis="axisRow" allDrilled="1" subtotalTop="0" showAll="0" sortType="ascending" defaultSubtotal="0" defaultAttributeDrillState="1">
      <items count="6">
        <item x="2"/>
        <item x="1"/>
        <item x="4"/>
        <item x="0"/>
        <item x="5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2">
    <i>
      <x/>
    </i>
    <i t="grand">
      <x/>
    </i>
  </colItems>
  <dataFields count="1">
    <dataField name="Count of Status" fld="1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colHierarchiesUsage count="1">
    <colHierarchyUsage hierarchyUsage="3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2_Cognizant_cleaning_working -copy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F89A0B9-15D7-4D7D-8687-DDD3CF9313D7}" autoFormatId="16" applyNumberFormats="0" applyBorderFormats="0" applyFontFormats="0" applyPatternFormats="0" applyAlignmentFormats="0" applyWidthHeightFormats="0">
  <queryTableRefresh nextId="22">
    <queryTableFields count="21">
      <queryTableField id="1" name="Ticket_ID" tableColumnId="1"/>
      <queryTableField id="2" name="Customer_ID" tableColumnId="2"/>
      <queryTableField id="3" name="Agent" tableColumnId="3"/>
      <queryTableField id="4" name="Department" tableColumnId="4"/>
      <queryTableField id="5" name="Region" tableColumnId="5"/>
      <queryTableField id="6" name="Ticket_Date" tableColumnId="6"/>
      <queryTableField id="7" name="Resolution_Date" tableColumnId="7"/>
      <queryTableField id="8" name="Priority" tableColumnId="8"/>
      <queryTableField id="9" name="Issue_Type" tableColumnId="9"/>
      <queryTableField id="10" name="Status" tableColumnId="10"/>
      <queryTableField id="11" name="Resolution_Hours" tableColumnId="11"/>
      <queryTableField id="12" name="SLA_Target_Hours" tableColumnId="12"/>
      <queryTableField id="13" name="Customer_Rating" tableColumnId="13"/>
      <queryTableField id="14" name="Escalated" tableColumnId="14"/>
      <queryTableField id="15" name="Channel" tableColumnId="15"/>
      <queryTableField id="16" name="Data_Quality_Flag" tableColumnId="16"/>
      <queryTableField id="17" name="SLA_Status" tableColumnId="17"/>
      <queryTableField id="18" name="Ticket_Date_only" tableColumnId="18"/>
      <queryTableField id="19" name="Ticket_Year" tableColumnId="19"/>
      <queryTableField id="20" name="Ticket_Month_Number" tableColumnId="20"/>
      <queryTableField id="21" name="Ticket_Month_ Name" tableColumnId="21"/>
    </queryTableFields>
  </queryTableRefresh>
  <extLst>
    <ext xmlns:x15="http://schemas.microsoft.com/office/spreadsheetml/2010/11/main" uri="{883FBD77-0823-4a55-B5E3-86C4891E6966}">
      <x15:queryTable sourceDataName="Query - Table1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C686B4-48C9-471A-BB09-709171F1CD7E}" name="Table1" displayName="Table1" ref="A1:O151" totalsRowShown="0" headerRowDxfId="17" headerRowBorderDxfId="16" tableBorderDxfId="15">
  <autoFilter ref="A1:O151" xr:uid="{32C686B4-48C9-471A-BB09-709171F1CD7E}"/>
  <tableColumns count="15">
    <tableColumn id="1" xr3:uid="{EF6132E0-159E-4A11-A219-BC76F304D1B2}" name="Ticket_ID"/>
    <tableColumn id="2" xr3:uid="{1D1D2830-6F32-4C13-9ACE-085FFDB9C234}" name="Customer_ID"/>
    <tableColumn id="3" xr3:uid="{30D83D08-9767-40FA-B351-4F9C56ED345D}" name="Agent"/>
    <tableColumn id="4" xr3:uid="{4591C25A-5C24-49F1-8A5A-7635B513C62C}" name="Department"/>
    <tableColumn id="5" xr3:uid="{F8E3CAF5-C2E5-4D3C-9D2C-3EB7400649ED}" name="Region"/>
    <tableColumn id="6" xr3:uid="{CAE9005A-0C27-4F0F-9D01-2B63BA28330E}" name="Ticket_Date" dataDxfId="14"/>
    <tableColumn id="7" xr3:uid="{F2BA6B06-A397-49FF-B12F-7EE8425D9C83}" name="Resolution_Date"/>
    <tableColumn id="8" xr3:uid="{7D8B4C7D-81FF-4065-8F1B-93314ECBB55A}" name="Priority"/>
    <tableColumn id="9" xr3:uid="{8D699BF7-0241-4695-BE16-983A91B60DA2}" name="Issue_Type"/>
    <tableColumn id="10" xr3:uid="{A6050186-326F-4317-80C1-2C37688B4D81}" name="Status"/>
    <tableColumn id="11" xr3:uid="{E4347162-7F44-4C06-AB20-B234BEB1D409}" name="Resolution_Hours"/>
    <tableColumn id="12" xr3:uid="{3D1EFD27-AD87-4B1B-9575-EC316AA8657B}" name="SLA_Target_Hours"/>
    <tableColumn id="13" xr3:uid="{A5463E49-E9E1-4865-9287-F976DDBD4C77}" name="Customer_Rating"/>
    <tableColumn id="14" xr3:uid="{2AC793F8-01E6-44DF-A3A7-3D7233576BA1}" name="Escalated"/>
    <tableColumn id="15" xr3:uid="{E8054E58-A56B-4B76-B05D-34C3BBECA6E0}" name="Chann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553676-D10C-45BC-ABEA-48AA7F576618}" name="Table1_2" displayName="Table1_2" ref="A1:U151" tableType="queryTable" totalsRowShown="0">
  <autoFilter ref="A1:U151" xr:uid="{1E553676-D10C-45BC-ABEA-48AA7F576618}">
    <filterColumn colId="13">
      <filters>
        <filter val="Yes"/>
      </filters>
    </filterColumn>
  </autoFilter>
  <tableColumns count="21">
    <tableColumn id="1" xr3:uid="{EA24AB0E-9C68-48C8-B855-DC391A8ACFDD}" uniqueName="1" name="Ticket_ID" queryTableFieldId="1" dataDxfId="13"/>
    <tableColumn id="2" xr3:uid="{BD773A0F-9586-40BD-9BEC-3F1938B006F8}" uniqueName="2" name="Customer_ID" queryTableFieldId="2" dataDxfId="12"/>
    <tableColumn id="3" xr3:uid="{224F061F-358C-4C46-A298-179F6E4641B0}" uniqueName="3" name="Agent" queryTableFieldId="3" dataDxfId="11"/>
    <tableColumn id="4" xr3:uid="{A4218D3D-F38E-4AFA-88CE-1D68D132AD19}" uniqueName="4" name="Department" queryTableFieldId="4" dataDxfId="10"/>
    <tableColumn id="5" xr3:uid="{48C9FDA7-EEFE-415B-A866-2AAA374209C2}" uniqueName="5" name="Region" queryTableFieldId="5" dataDxfId="9"/>
    <tableColumn id="6" xr3:uid="{0CB72ED2-73AE-4A19-A0E5-2B979B2100FF}" uniqueName="6" name="Ticket_Date" queryTableFieldId="6" dataDxfId="8"/>
    <tableColumn id="7" xr3:uid="{79DEB403-FD76-4259-9250-BEA43720B5D4}" uniqueName="7" name="Resolution_Date" queryTableFieldId="7" dataDxfId="7"/>
    <tableColumn id="8" xr3:uid="{4D8AEC27-2C09-44F3-8FDA-198764930164}" uniqueName="8" name="Priority" queryTableFieldId="8" dataDxfId="6"/>
    <tableColumn id="9" xr3:uid="{A83EFAA0-9590-4A58-8AAC-7056B0FAE39F}" uniqueName="9" name="Issue_Type" queryTableFieldId="9" dataDxfId="5"/>
    <tableColumn id="10" xr3:uid="{661C0C2B-9892-485A-ACE8-43C508751ED6}" uniqueName="10" name="Status" queryTableFieldId="10" dataDxfId="4"/>
    <tableColumn id="11" xr3:uid="{50312E19-F038-4AF2-8017-AEDA70DEE953}" uniqueName="11" name="Resolution_Hours" queryTableFieldId="11"/>
    <tableColumn id="12" xr3:uid="{9A8900D1-4506-4D1E-9029-A5089CE29C47}" uniqueName="12" name="SLA_Target_Hours" queryTableFieldId="12"/>
    <tableColumn id="13" xr3:uid="{BFDEE0FF-C0D5-4DA1-B90B-14C48B9B11C1}" uniqueName="13" name="Customer_Rating" queryTableFieldId="13"/>
    <tableColumn id="14" xr3:uid="{31DEE7EA-2C1E-4722-9630-8E3F03C6755F}" uniqueName="14" name="Escalated" queryTableFieldId="14" dataDxfId="3"/>
    <tableColumn id="15" xr3:uid="{604C2562-C966-49B6-8F35-018AB7A2EE8A}" uniqueName="15" name="Channel" queryTableFieldId="15" dataDxfId="2"/>
    <tableColumn id="16" xr3:uid="{34A2E284-7C0D-4F4E-B9B2-8176DDB861A6}" uniqueName="16" name="Data_Quality_Flag" queryTableFieldId="16"/>
    <tableColumn id="17" xr3:uid="{CB35E6F5-30D8-4F4C-875D-23D8E7AFB3EE}" uniqueName="17" name="SLA_Status" queryTableFieldId="17"/>
    <tableColumn id="18" xr3:uid="{3AEF213F-B566-4CFB-896F-40DCB7E4FC45}" uniqueName="18" name="Ticket_Date_only" queryTableFieldId="18" dataDxfId="1"/>
    <tableColumn id="19" xr3:uid="{E32FD6BB-89C7-473E-9EA1-FCA618D9BD0F}" uniqueName="19" name="Ticket_Year" queryTableFieldId="19"/>
    <tableColumn id="20" xr3:uid="{A223F914-41F6-4637-B706-4C82A6918599}" uniqueName="20" name="Ticket_Month_Number" queryTableFieldId="20"/>
    <tableColumn id="21" xr3:uid="{C8B535BC-12CA-4809-B1B1-D13A310401A5}" uniqueName="21" name="Ticket_Month_ Name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workbookViewId="0">
      <selection sqref="A1:O151"/>
    </sheetView>
  </sheetViews>
  <sheetFormatPr defaultRowHeight="14.5" x14ac:dyDescent="0.35"/>
  <cols>
    <col min="1" max="1" width="10.6328125" customWidth="1"/>
    <col min="2" max="2" width="13.81640625" customWidth="1"/>
    <col min="4" max="4" width="13.08984375" customWidth="1"/>
    <col min="6" max="6" width="12.81640625" customWidth="1"/>
    <col min="7" max="7" width="21.36328125" customWidth="1"/>
    <col min="8" max="8" width="9" customWidth="1"/>
    <col min="9" max="9" width="12.08984375" customWidth="1"/>
    <col min="11" max="11" width="17.7265625" customWidth="1"/>
    <col min="12" max="12" width="18.08984375" customWidth="1"/>
    <col min="13" max="13" width="17.26953125" customWidth="1"/>
    <col min="14" max="14" width="10.7265625" customWidth="1"/>
    <col min="15" max="15" width="9.6328125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46085.291666666657</v>
      </c>
      <c r="G2" s="1">
        <v>46085.458333333343</v>
      </c>
      <c r="H2" t="s">
        <v>20</v>
      </c>
      <c r="I2" t="s">
        <v>21</v>
      </c>
      <c r="J2" t="s">
        <v>22</v>
      </c>
      <c r="K2">
        <v>4</v>
      </c>
      <c r="L2">
        <v>24</v>
      </c>
      <c r="M2">
        <v>5</v>
      </c>
      <c r="N2" t="s">
        <v>23</v>
      </c>
      <c r="O2" t="s">
        <v>24</v>
      </c>
    </row>
    <row r="3" spans="1:15" x14ac:dyDescent="0.35">
      <c r="A3" t="s">
        <v>25</v>
      </c>
      <c r="B3" t="s">
        <v>26</v>
      </c>
      <c r="C3" t="s">
        <v>17</v>
      </c>
      <c r="D3" t="s">
        <v>18</v>
      </c>
      <c r="E3" t="s">
        <v>27</v>
      </c>
      <c r="F3" s="1">
        <v>46082.666666666657</v>
      </c>
      <c r="H3" t="s">
        <v>28</v>
      </c>
      <c r="I3" t="s">
        <v>29</v>
      </c>
      <c r="J3" t="s">
        <v>30</v>
      </c>
      <c r="K3">
        <v>24</v>
      </c>
      <c r="L3">
        <v>24</v>
      </c>
      <c r="N3" t="s">
        <v>23</v>
      </c>
      <c r="O3" t="s">
        <v>24</v>
      </c>
    </row>
    <row r="4" spans="1:15" x14ac:dyDescent="0.3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s="1">
        <v>46063.541666666657</v>
      </c>
      <c r="H4" t="s">
        <v>36</v>
      </c>
      <c r="I4" t="s">
        <v>37</v>
      </c>
      <c r="J4" t="s">
        <v>30</v>
      </c>
      <c r="K4">
        <v>18</v>
      </c>
      <c r="L4">
        <v>48</v>
      </c>
      <c r="N4" t="s">
        <v>38</v>
      </c>
      <c r="O4" t="s">
        <v>39</v>
      </c>
    </row>
    <row r="5" spans="1:15" x14ac:dyDescent="0.35">
      <c r="A5" t="s">
        <v>40</v>
      </c>
      <c r="B5" t="s">
        <v>41</v>
      </c>
      <c r="C5" t="s">
        <v>42</v>
      </c>
      <c r="D5" t="s">
        <v>18</v>
      </c>
      <c r="E5" t="s">
        <v>19</v>
      </c>
      <c r="F5" s="1">
        <v>46111.791666666657</v>
      </c>
      <c r="G5" s="1">
        <v>46113.791666666657</v>
      </c>
      <c r="H5" t="s">
        <v>36</v>
      </c>
      <c r="I5" t="s">
        <v>43</v>
      </c>
      <c r="J5" t="s">
        <v>22</v>
      </c>
      <c r="K5">
        <v>48</v>
      </c>
      <c r="L5">
        <v>48</v>
      </c>
      <c r="M5">
        <v>1</v>
      </c>
      <c r="N5" t="s">
        <v>23</v>
      </c>
      <c r="O5" t="s">
        <v>44</v>
      </c>
    </row>
    <row r="6" spans="1:15" x14ac:dyDescent="0.35">
      <c r="A6" t="s">
        <v>45</v>
      </c>
      <c r="B6" t="s">
        <v>41</v>
      </c>
      <c r="C6" t="s">
        <v>33</v>
      </c>
      <c r="D6" t="s">
        <v>34</v>
      </c>
      <c r="E6" t="s">
        <v>46</v>
      </c>
      <c r="F6" s="1">
        <v>46115.75</v>
      </c>
      <c r="G6" s="1">
        <v>46116.083333333343</v>
      </c>
      <c r="H6" t="s">
        <v>20</v>
      </c>
      <c r="I6" t="s">
        <v>21</v>
      </c>
      <c r="J6" t="s">
        <v>22</v>
      </c>
      <c r="K6">
        <v>8</v>
      </c>
      <c r="L6">
        <v>24</v>
      </c>
      <c r="N6" t="s">
        <v>23</v>
      </c>
      <c r="O6" t="s">
        <v>47</v>
      </c>
    </row>
    <row r="7" spans="1:15" x14ac:dyDescent="0.35">
      <c r="A7" t="s">
        <v>48</v>
      </c>
      <c r="B7" t="s">
        <v>41</v>
      </c>
      <c r="C7" t="s">
        <v>49</v>
      </c>
      <c r="D7" t="s">
        <v>18</v>
      </c>
      <c r="E7" t="s">
        <v>50</v>
      </c>
      <c r="F7" s="1">
        <v>46094.583333333343</v>
      </c>
      <c r="H7" t="s">
        <v>36</v>
      </c>
      <c r="I7" t="s">
        <v>51</v>
      </c>
      <c r="J7" t="s">
        <v>52</v>
      </c>
      <c r="K7">
        <v>8</v>
      </c>
      <c r="L7">
        <v>48</v>
      </c>
      <c r="N7" t="s">
        <v>23</v>
      </c>
      <c r="O7" t="s">
        <v>53</v>
      </c>
    </row>
    <row r="8" spans="1:15" x14ac:dyDescent="0.35">
      <c r="A8" t="s">
        <v>54</v>
      </c>
      <c r="B8" t="s">
        <v>55</v>
      </c>
      <c r="C8" t="s">
        <v>56</v>
      </c>
      <c r="D8" t="s">
        <v>18</v>
      </c>
      <c r="E8" t="s">
        <v>46</v>
      </c>
      <c r="F8" s="1">
        <v>46185.208333333343</v>
      </c>
      <c r="H8" t="s">
        <v>28</v>
      </c>
      <c r="I8" t="s">
        <v>21</v>
      </c>
      <c r="J8" t="s">
        <v>30</v>
      </c>
      <c r="K8">
        <v>30</v>
      </c>
      <c r="L8">
        <v>24</v>
      </c>
      <c r="N8" t="s">
        <v>23</v>
      </c>
      <c r="O8" t="s">
        <v>39</v>
      </c>
    </row>
    <row r="9" spans="1:15" x14ac:dyDescent="0.35">
      <c r="A9" t="s">
        <v>57</v>
      </c>
      <c r="B9" t="s">
        <v>58</v>
      </c>
      <c r="C9" t="s">
        <v>56</v>
      </c>
      <c r="D9" t="s">
        <v>59</v>
      </c>
      <c r="E9" t="s">
        <v>27</v>
      </c>
      <c r="F9" s="1">
        <v>46198.416666666657</v>
      </c>
      <c r="G9" s="1">
        <v>46199.416666666657</v>
      </c>
      <c r="H9" t="s">
        <v>60</v>
      </c>
      <c r="I9" t="s">
        <v>51</v>
      </c>
      <c r="J9" t="s">
        <v>22</v>
      </c>
      <c r="K9">
        <v>24</v>
      </c>
      <c r="L9">
        <v>8</v>
      </c>
      <c r="M9">
        <v>3</v>
      </c>
      <c r="N9" t="s">
        <v>38</v>
      </c>
      <c r="O9" t="s">
        <v>53</v>
      </c>
    </row>
    <row r="10" spans="1:15" x14ac:dyDescent="0.35">
      <c r="A10" t="s">
        <v>61</v>
      </c>
      <c r="B10" t="s">
        <v>62</v>
      </c>
      <c r="C10" t="s">
        <v>33</v>
      </c>
      <c r="D10" t="s">
        <v>34</v>
      </c>
      <c r="E10" t="s">
        <v>27</v>
      </c>
      <c r="F10" s="1">
        <v>46190.625</v>
      </c>
      <c r="G10" s="1">
        <v>46191.125</v>
      </c>
      <c r="H10" t="s">
        <v>63</v>
      </c>
      <c r="I10" t="s">
        <v>21</v>
      </c>
      <c r="J10" t="s">
        <v>64</v>
      </c>
      <c r="K10">
        <v>12</v>
      </c>
      <c r="L10">
        <v>8</v>
      </c>
      <c r="M10">
        <v>2</v>
      </c>
      <c r="N10" t="s">
        <v>23</v>
      </c>
      <c r="O10" t="s">
        <v>39</v>
      </c>
    </row>
    <row r="11" spans="1:15" x14ac:dyDescent="0.35">
      <c r="A11" t="s">
        <v>65</v>
      </c>
      <c r="B11" t="s">
        <v>66</v>
      </c>
      <c r="C11" t="s">
        <v>33</v>
      </c>
      <c r="D11" t="s">
        <v>59</v>
      </c>
      <c r="E11" t="s">
        <v>19</v>
      </c>
      <c r="F11" s="1">
        <v>46172.541666666657</v>
      </c>
      <c r="H11" t="s">
        <v>28</v>
      </c>
      <c r="I11" t="s">
        <v>67</v>
      </c>
      <c r="J11" t="s">
        <v>52</v>
      </c>
      <c r="K11">
        <v>6</v>
      </c>
      <c r="L11">
        <v>24</v>
      </c>
      <c r="N11" t="s">
        <v>23</v>
      </c>
      <c r="O11" t="s">
        <v>39</v>
      </c>
    </row>
    <row r="12" spans="1:15" x14ac:dyDescent="0.35">
      <c r="A12" t="s">
        <v>65</v>
      </c>
      <c r="B12" t="s">
        <v>41</v>
      </c>
      <c r="C12" t="s">
        <v>17</v>
      </c>
      <c r="D12" t="s">
        <v>18</v>
      </c>
      <c r="E12" t="s">
        <v>27</v>
      </c>
      <c r="F12" s="1">
        <v>46183.208333333343</v>
      </c>
      <c r="G12" s="1">
        <v>46184.208333333343</v>
      </c>
      <c r="H12" t="s">
        <v>63</v>
      </c>
      <c r="I12" t="s">
        <v>68</v>
      </c>
      <c r="J12" t="s">
        <v>22</v>
      </c>
      <c r="K12">
        <v>24</v>
      </c>
      <c r="L12">
        <v>8</v>
      </c>
      <c r="M12">
        <v>5</v>
      </c>
      <c r="N12" t="s">
        <v>23</v>
      </c>
      <c r="O12" t="s">
        <v>44</v>
      </c>
    </row>
    <row r="13" spans="1:15" x14ac:dyDescent="0.35">
      <c r="A13" t="s">
        <v>69</v>
      </c>
      <c r="B13" t="s">
        <v>70</v>
      </c>
      <c r="C13" t="s">
        <v>71</v>
      </c>
      <c r="D13" t="s">
        <v>59</v>
      </c>
      <c r="E13" t="s">
        <v>35</v>
      </c>
      <c r="F13" s="1">
        <v>46197.125</v>
      </c>
      <c r="H13" t="s">
        <v>28</v>
      </c>
      <c r="I13" t="s">
        <v>43</v>
      </c>
      <c r="J13" t="s">
        <v>52</v>
      </c>
      <c r="K13">
        <v>4</v>
      </c>
      <c r="L13">
        <v>24</v>
      </c>
      <c r="N13" t="s">
        <v>23</v>
      </c>
      <c r="O13" t="s">
        <v>53</v>
      </c>
    </row>
    <row r="14" spans="1:15" x14ac:dyDescent="0.35">
      <c r="A14" t="s">
        <v>72</v>
      </c>
      <c r="B14" t="s">
        <v>73</v>
      </c>
      <c r="C14" t="s">
        <v>49</v>
      </c>
      <c r="D14" t="s">
        <v>74</v>
      </c>
      <c r="E14" t="s">
        <v>35</v>
      </c>
      <c r="F14" s="1">
        <v>46090.666666666657</v>
      </c>
      <c r="G14" s="1">
        <v>46092.666666666657</v>
      </c>
      <c r="H14" t="s">
        <v>20</v>
      </c>
      <c r="I14" t="s">
        <v>68</v>
      </c>
      <c r="J14" t="s">
        <v>22</v>
      </c>
      <c r="K14">
        <v>48</v>
      </c>
      <c r="L14">
        <v>24</v>
      </c>
      <c r="M14">
        <v>5</v>
      </c>
      <c r="N14" t="s">
        <v>23</v>
      </c>
      <c r="O14" t="s">
        <v>53</v>
      </c>
    </row>
    <row r="15" spans="1:15" x14ac:dyDescent="0.35">
      <c r="A15" t="s">
        <v>75</v>
      </c>
      <c r="B15" t="s">
        <v>76</v>
      </c>
      <c r="C15" t="s">
        <v>71</v>
      </c>
      <c r="D15" t="s">
        <v>77</v>
      </c>
      <c r="E15" t="s">
        <v>46</v>
      </c>
      <c r="F15" s="1">
        <v>46158</v>
      </c>
      <c r="G15" s="1">
        <v>46158.166666666657</v>
      </c>
      <c r="H15" t="s">
        <v>28</v>
      </c>
      <c r="I15" t="s">
        <v>37</v>
      </c>
      <c r="J15" t="s">
        <v>64</v>
      </c>
      <c r="K15">
        <v>4</v>
      </c>
      <c r="L15">
        <v>24</v>
      </c>
      <c r="M15">
        <v>3</v>
      </c>
      <c r="N15" t="s">
        <v>23</v>
      </c>
      <c r="O15" t="s">
        <v>47</v>
      </c>
    </row>
    <row r="16" spans="1:15" x14ac:dyDescent="0.35">
      <c r="A16" t="s">
        <v>78</v>
      </c>
      <c r="B16" t="s">
        <v>79</v>
      </c>
      <c r="C16" t="s">
        <v>17</v>
      </c>
      <c r="D16" t="s">
        <v>77</v>
      </c>
      <c r="E16" t="s">
        <v>46</v>
      </c>
      <c r="F16" s="1">
        <v>46043.083333333343</v>
      </c>
      <c r="G16" s="1">
        <v>46043.333333333343</v>
      </c>
      <c r="H16" t="s">
        <v>63</v>
      </c>
      <c r="I16" t="s">
        <v>43</v>
      </c>
      <c r="J16" t="s">
        <v>22</v>
      </c>
      <c r="K16">
        <v>6</v>
      </c>
      <c r="L16">
        <v>8</v>
      </c>
      <c r="M16">
        <v>2</v>
      </c>
      <c r="N16" t="s">
        <v>23</v>
      </c>
      <c r="O16" t="s">
        <v>24</v>
      </c>
    </row>
    <row r="17" spans="1:15" x14ac:dyDescent="0.35">
      <c r="A17" t="s">
        <v>80</v>
      </c>
      <c r="B17" t="s">
        <v>81</v>
      </c>
      <c r="C17" t="s">
        <v>49</v>
      </c>
      <c r="D17" t="s">
        <v>34</v>
      </c>
      <c r="E17" t="s">
        <v>46</v>
      </c>
      <c r="F17" s="1">
        <v>46178.541666666657</v>
      </c>
      <c r="H17" t="s">
        <v>20</v>
      </c>
      <c r="I17" t="s">
        <v>68</v>
      </c>
      <c r="J17" t="s">
        <v>30</v>
      </c>
      <c r="K17">
        <v>24</v>
      </c>
      <c r="L17">
        <v>24</v>
      </c>
      <c r="N17" t="s">
        <v>23</v>
      </c>
      <c r="O17" t="s">
        <v>53</v>
      </c>
    </row>
    <row r="18" spans="1:15" x14ac:dyDescent="0.35">
      <c r="A18" t="s">
        <v>82</v>
      </c>
      <c r="B18" t="s">
        <v>32</v>
      </c>
      <c r="C18" t="s">
        <v>33</v>
      </c>
      <c r="D18" t="s">
        <v>74</v>
      </c>
      <c r="E18" t="s">
        <v>35</v>
      </c>
      <c r="F18" s="1">
        <v>46086.291666666657</v>
      </c>
      <c r="G18" s="1">
        <v>46088.291666666657</v>
      </c>
      <c r="H18" t="s">
        <v>60</v>
      </c>
      <c r="I18" t="s">
        <v>37</v>
      </c>
      <c r="J18" t="s">
        <v>22</v>
      </c>
      <c r="K18">
        <v>48</v>
      </c>
      <c r="L18">
        <v>8</v>
      </c>
      <c r="M18">
        <v>2</v>
      </c>
      <c r="N18" t="s">
        <v>23</v>
      </c>
      <c r="O18" t="s">
        <v>24</v>
      </c>
    </row>
    <row r="19" spans="1:15" x14ac:dyDescent="0.35">
      <c r="A19" t="s">
        <v>83</v>
      </c>
      <c r="B19" t="s">
        <v>84</v>
      </c>
      <c r="C19" t="s">
        <v>17</v>
      </c>
      <c r="D19" t="s">
        <v>18</v>
      </c>
      <c r="E19" t="s">
        <v>27</v>
      </c>
      <c r="F19" s="1">
        <v>46040.041666666657</v>
      </c>
      <c r="H19" t="s">
        <v>36</v>
      </c>
      <c r="I19" t="s">
        <v>29</v>
      </c>
      <c r="J19" t="s">
        <v>30</v>
      </c>
      <c r="K19">
        <v>30</v>
      </c>
      <c r="L19">
        <v>48</v>
      </c>
      <c r="N19" t="s">
        <v>23</v>
      </c>
      <c r="O19" t="s">
        <v>53</v>
      </c>
    </row>
    <row r="20" spans="1:15" x14ac:dyDescent="0.35">
      <c r="A20" t="s">
        <v>85</v>
      </c>
      <c r="B20" t="s">
        <v>86</v>
      </c>
      <c r="C20" t="s">
        <v>49</v>
      </c>
      <c r="D20" t="s">
        <v>59</v>
      </c>
      <c r="E20" t="s">
        <v>46</v>
      </c>
      <c r="F20" s="1">
        <v>46144.291666666657</v>
      </c>
      <c r="G20" s="1">
        <v>46144.458333333343</v>
      </c>
      <c r="H20" t="s">
        <v>63</v>
      </c>
      <c r="I20" t="s">
        <v>43</v>
      </c>
      <c r="J20" t="s">
        <v>64</v>
      </c>
      <c r="K20">
        <v>4</v>
      </c>
      <c r="L20">
        <v>8</v>
      </c>
      <c r="M20">
        <v>1</v>
      </c>
      <c r="N20" t="s">
        <v>23</v>
      </c>
      <c r="O20" t="s">
        <v>39</v>
      </c>
    </row>
    <row r="21" spans="1:15" x14ac:dyDescent="0.35">
      <c r="A21" t="s">
        <v>87</v>
      </c>
      <c r="B21" t="s">
        <v>88</v>
      </c>
      <c r="C21" t="s">
        <v>42</v>
      </c>
      <c r="D21" t="s">
        <v>74</v>
      </c>
      <c r="E21" t="s">
        <v>50</v>
      </c>
      <c r="F21" s="1">
        <v>46036.833333333343</v>
      </c>
      <c r="G21" s="1">
        <v>46037</v>
      </c>
      <c r="H21" t="s">
        <v>60</v>
      </c>
      <c r="I21" t="s">
        <v>29</v>
      </c>
      <c r="J21" t="s">
        <v>64</v>
      </c>
      <c r="K21">
        <v>4</v>
      </c>
      <c r="L21">
        <v>8</v>
      </c>
      <c r="M21">
        <v>2</v>
      </c>
      <c r="N21" t="s">
        <v>23</v>
      </c>
      <c r="O21" t="s">
        <v>53</v>
      </c>
    </row>
    <row r="22" spans="1:15" x14ac:dyDescent="0.35">
      <c r="A22" t="s">
        <v>89</v>
      </c>
      <c r="B22" t="s">
        <v>90</v>
      </c>
      <c r="C22" t="s">
        <v>33</v>
      </c>
      <c r="D22" t="s">
        <v>74</v>
      </c>
      <c r="E22" t="s">
        <v>27</v>
      </c>
      <c r="F22" s="1">
        <v>46131.208333333343</v>
      </c>
      <c r="H22" t="s">
        <v>36</v>
      </c>
      <c r="I22" t="s">
        <v>67</v>
      </c>
      <c r="J22" t="s">
        <v>30</v>
      </c>
      <c r="K22">
        <v>30</v>
      </c>
      <c r="L22">
        <v>48</v>
      </c>
      <c r="N22" t="s">
        <v>38</v>
      </c>
      <c r="O22" t="s">
        <v>47</v>
      </c>
    </row>
    <row r="23" spans="1:15" x14ac:dyDescent="0.35">
      <c r="A23" t="s">
        <v>91</v>
      </c>
      <c r="B23" t="s">
        <v>92</v>
      </c>
      <c r="C23" t="s">
        <v>56</v>
      </c>
      <c r="D23" t="s">
        <v>59</v>
      </c>
      <c r="E23" t="s">
        <v>35</v>
      </c>
      <c r="F23" s="1">
        <v>46046.291666666657</v>
      </c>
      <c r="G23" s="1">
        <v>46046.625</v>
      </c>
      <c r="H23" t="s">
        <v>20</v>
      </c>
      <c r="I23" t="s">
        <v>67</v>
      </c>
      <c r="J23" t="s">
        <v>64</v>
      </c>
      <c r="K23">
        <v>8</v>
      </c>
      <c r="L23">
        <v>24</v>
      </c>
      <c r="N23" t="s">
        <v>23</v>
      </c>
      <c r="O23" t="s">
        <v>44</v>
      </c>
    </row>
    <row r="24" spans="1:15" x14ac:dyDescent="0.35">
      <c r="A24" t="s">
        <v>93</v>
      </c>
      <c r="B24" t="s">
        <v>94</v>
      </c>
      <c r="C24" t="s">
        <v>17</v>
      </c>
      <c r="D24" t="s">
        <v>77</v>
      </c>
      <c r="E24" t="s">
        <v>50</v>
      </c>
      <c r="F24" s="1">
        <v>46023.5</v>
      </c>
      <c r="G24" s="1">
        <v>46024.5</v>
      </c>
      <c r="H24" t="s">
        <v>36</v>
      </c>
      <c r="I24" t="s">
        <v>43</v>
      </c>
      <c r="J24" t="s">
        <v>64</v>
      </c>
      <c r="K24">
        <v>24</v>
      </c>
      <c r="L24">
        <v>48</v>
      </c>
      <c r="N24" t="s">
        <v>23</v>
      </c>
      <c r="O24" t="s">
        <v>53</v>
      </c>
    </row>
    <row r="25" spans="1:15" x14ac:dyDescent="0.35">
      <c r="A25" t="s">
        <v>95</v>
      </c>
      <c r="B25" t="s">
        <v>76</v>
      </c>
      <c r="C25" t="s">
        <v>49</v>
      </c>
      <c r="D25" t="s">
        <v>34</v>
      </c>
      <c r="E25" t="s">
        <v>27</v>
      </c>
      <c r="F25" s="1">
        <v>46037.75</v>
      </c>
      <c r="H25" t="s">
        <v>28</v>
      </c>
      <c r="I25" t="s">
        <v>29</v>
      </c>
      <c r="J25" t="s">
        <v>52</v>
      </c>
      <c r="K25">
        <v>2</v>
      </c>
      <c r="L25">
        <v>24</v>
      </c>
      <c r="N25" t="s">
        <v>23</v>
      </c>
      <c r="O25" t="s">
        <v>47</v>
      </c>
    </row>
    <row r="26" spans="1:15" x14ac:dyDescent="0.35">
      <c r="A26" t="s">
        <v>96</v>
      </c>
      <c r="B26" t="s">
        <v>97</v>
      </c>
      <c r="C26" t="s">
        <v>33</v>
      </c>
      <c r="D26" t="s">
        <v>77</v>
      </c>
      <c r="E26" t="s">
        <v>35</v>
      </c>
      <c r="F26" s="1">
        <v>46153.083333333343</v>
      </c>
      <c r="G26" s="1">
        <v>46154.083333333343</v>
      </c>
      <c r="H26" t="s">
        <v>20</v>
      </c>
      <c r="I26" t="s">
        <v>29</v>
      </c>
      <c r="J26" t="s">
        <v>22</v>
      </c>
      <c r="K26">
        <v>24</v>
      </c>
      <c r="L26">
        <v>24</v>
      </c>
      <c r="M26">
        <v>1</v>
      </c>
      <c r="N26" t="s">
        <v>23</v>
      </c>
      <c r="O26" t="s">
        <v>39</v>
      </c>
    </row>
    <row r="27" spans="1:15" x14ac:dyDescent="0.35">
      <c r="A27" t="s">
        <v>98</v>
      </c>
      <c r="B27" t="s">
        <v>99</v>
      </c>
      <c r="C27" t="s">
        <v>100</v>
      </c>
      <c r="D27" t="s">
        <v>18</v>
      </c>
      <c r="E27" t="s">
        <v>46</v>
      </c>
      <c r="F27" s="1">
        <v>46043.541666666657</v>
      </c>
      <c r="H27" t="s">
        <v>28</v>
      </c>
      <c r="I27" t="s">
        <v>68</v>
      </c>
      <c r="J27" t="s">
        <v>52</v>
      </c>
      <c r="K27">
        <v>8</v>
      </c>
      <c r="L27">
        <v>24</v>
      </c>
      <c r="N27" t="s">
        <v>23</v>
      </c>
      <c r="O27" t="s">
        <v>53</v>
      </c>
    </row>
    <row r="28" spans="1:15" x14ac:dyDescent="0.35">
      <c r="A28" t="s">
        <v>101</v>
      </c>
      <c r="B28" t="s">
        <v>79</v>
      </c>
      <c r="C28" t="s">
        <v>71</v>
      </c>
      <c r="D28" t="s">
        <v>74</v>
      </c>
      <c r="E28" t="s">
        <v>27</v>
      </c>
      <c r="F28" s="1">
        <v>46194.833333333343</v>
      </c>
      <c r="H28" t="s">
        <v>36</v>
      </c>
      <c r="I28" t="s">
        <v>67</v>
      </c>
      <c r="J28" t="s">
        <v>52</v>
      </c>
      <c r="K28">
        <v>2</v>
      </c>
      <c r="L28">
        <v>48</v>
      </c>
      <c r="N28" t="s">
        <v>23</v>
      </c>
      <c r="O28" t="s">
        <v>47</v>
      </c>
    </row>
    <row r="29" spans="1:15" x14ac:dyDescent="0.35">
      <c r="A29" t="s">
        <v>102</v>
      </c>
      <c r="B29" t="s">
        <v>103</v>
      </c>
      <c r="C29" t="s">
        <v>33</v>
      </c>
      <c r="D29" t="s">
        <v>18</v>
      </c>
      <c r="E29" t="s">
        <v>35</v>
      </c>
      <c r="F29" s="1">
        <v>46160.25</v>
      </c>
      <c r="H29" t="s">
        <v>28</v>
      </c>
      <c r="I29" t="s">
        <v>37</v>
      </c>
      <c r="J29" t="s">
        <v>30</v>
      </c>
      <c r="K29">
        <v>4</v>
      </c>
      <c r="L29">
        <v>24</v>
      </c>
      <c r="N29" t="s">
        <v>23</v>
      </c>
      <c r="O29" t="s">
        <v>53</v>
      </c>
    </row>
    <row r="30" spans="1:15" x14ac:dyDescent="0.35">
      <c r="A30" t="s">
        <v>104</v>
      </c>
      <c r="B30" t="s">
        <v>105</v>
      </c>
      <c r="C30" t="s">
        <v>71</v>
      </c>
      <c r="D30" t="s">
        <v>77</v>
      </c>
      <c r="E30" t="s">
        <v>50</v>
      </c>
      <c r="F30" s="1">
        <v>46162.375</v>
      </c>
      <c r="G30" s="1">
        <v>46162.875</v>
      </c>
      <c r="H30" t="s">
        <v>28</v>
      </c>
      <c r="I30" t="s">
        <v>43</v>
      </c>
      <c r="J30" t="s">
        <v>22</v>
      </c>
      <c r="K30">
        <v>12</v>
      </c>
      <c r="L30">
        <v>24</v>
      </c>
      <c r="N30" t="s">
        <v>38</v>
      </c>
      <c r="O30" t="s">
        <v>24</v>
      </c>
    </row>
    <row r="31" spans="1:15" x14ac:dyDescent="0.35">
      <c r="A31" t="s">
        <v>106</v>
      </c>
      <c r="B31" t="s">
        <v>107</v>
      </c>
      <c r="C31" t="s">
        <v>49</v>
      </c>
      <c r="D31" t="s">
        <v>34</v>
      </c>
      <c r="E31" t="s">
        <v>35</v>
      </c>
      <c r="F31" s="1">
        <v>46050.708333333343</v>
      </c>
      <c r="H31" t="s">
        <v>20</v>
      </c>
      <c r="I31" t="s">
        <v>37</v>
      </c>
      <c r="J31" t="s">
        <v>52</v>
      </c>
      <c r="K31">
        <v>8</v>
      </c>
      <c r="L31">
        <v>24</v>
      </c>
      <c r="N31" t="s">
        <v>23</v>
      </c>
      <c r="O31" t="s">
        <v>24</v>
      </c>
    </row>
    <row r="32" spans="1:15" x14ac:dyDescent="0.35">
      <c r="A32" t="s">
        <v>108</v>
      </c>
      <c r="B32" t="s">
        <v>62</v>
      </c>
      <c r="C32" t="s">
        <v>56</v>
      </c>
      <c r="D32" t="s">
        <v>34</v>
      </c>
      <c r="E32" t="s">
        <v>46</v>
      </c>
      <c r="F32" s="1">
        <v>46148.333333333343</v>
      </c>
      <c r="G32" s="1">
        <v>46148.416666666657</v>
      </c>
      <c r="H32" t="s">
        <v>60</v>
      </c>
      <c r="I32" t="s">
        <v>29</v>
      </c>
      <c r="J32" t="s">
        <v>64</v>
      </c>
      <c r="K32">
        <v>2</v>
      </c>
      <c r="L32">
        <v>8</v>
      </c>
      <c r="M32">
        <v>1</v>
      </c>
      <c r="N32" t="s">
        <v>23</v>
      </c>
      <c r="O32" t="s">
        <v>53</v>
      </c>
    </row>
    <row r="33" spans="1:15" x14ac:dyDescent="0.35">
      <c r="A33" t="s">
        <v>109</v>
      </c>
      <c r="B33" t="s">
        <v>110</v>
      </c>
      <c r="C33" t="s">
        <v>49</v>
      </c>
      <c r="D33" t="s">
        <v>34</v>
      </c>
      <c r="E33" t="s">
        <v>27</v>
      </c>
      <c r="F33" s="1">
        <v>46136.708333333343</v>
      </c>
      <c r="G33" s="1">
        <v>46136.875</v>
      </c>
      <c r="H33" t="s">
        <v>63</v>
      </c>
      <c r="I33" t="s">
        <v>68</v>
      </c>
      <c r="J33" t="s">
        <v>22</v>
      </c>
      <c r="K33">
        <v>4</v>
      </c>
      <c r="L33">
        <v>8</v>
      </c>
      <c r="N33" t="s">
        <v>23</v>
      </c>
      <c r="O33" t="s">
        <v>47</v>
      </c>
    </row>
    <row r="34" spans="1:15" x14ac:dyDescent="0.35">
      <c r="A34" t="s">
        <v>111</v>
      </c>
      <c r="B34" t="s">
        <v>86</v>
      </c>
      <c r="C34" t="s">
        <v>17</v>
      </c>
      <c r="D34" t="s">
        <v>34</v>
      </c>
      <c r="F34" s="1">
        <v>46164.166666666657</v>
      </c>
      <c r="G34" s="1">
        <v>46164.916666666657</v>
      </c>
      <c r="H34" t="s">
        <v>63</v>
      </c>
      <c r="I34" t="s">
        <v>51</v>
      </c>
      <c r="J34" t="s">
        <v>22</v>
      </c>
      <c r="K34">
        <v>18</v>
      </c>
      <c r="L34">
        <v>8</v>
      </c>
      <c r="N34" t="s">
        <v>38</v>
      </c>
      <c r="O34" t="s">
        <v>53</v>
      </c>
    </row>
    <row r="35" spans="1:15" x14ac:dyDescent="0.35">
      <c r="A35" t="s">
        <v>112</v>
      </c>
      <c r="B35" t="s">
        <v>94</v>
      </c>
      <c r="C35" t="s">
        <v>71</v>
      </c>
      <c r="D35" t="s">
        <v>77</v>
      </c>
      <c r="E35" t="s">
        <v>27</v>
      </c>
      <c r="F35" s="1">
        <v>46193.125</v>
      </c>
      <c r="G35" s="1">
        <v>46193.375</v>
      </c>
      <c r="H35" t="s">
        <v>36</v>
      </c>
      <c r="I35" t="s">
        <v>43</v>
      </c>
      <c r="J35" t="s">
        <v>64</v>
      </c>
      <c r="K35">
        <v>6</v>
      </c>
      <c r="L35">
        <v>48</v>
      </c>
      <c r="M35">
        <v>2</v>
      </c>
      <c r="N35" t="s">
        <v>23</v>
      </c>
      <c r="O35" t="s">
        <v>24</v>
      </c>
    </row>
    <row r="36" spans="1:15" x14ac:dyDescent="0.35">
      <c r="A36" t="s">
        <v>113</v>
      </c>
      <c r="B36" t="s">
        <v>114</v>
      </c>
      <c r="C36" t="s">
        <v>49</v>
      </c>
      <c r="D36" t="s">
        <v>74</v>
      </c>
      <c r="E36" t="s">
        <v>35</v>
      </c>
      <c r="F36" s="1">
        <v>46068.416666666657</v>
      </c>
      <c r="H36" t="s">
        <v>63</v>
      </c>
      <c r="I36" t="s">
        <v>43</v>
      </c>
      <c r="J36" t="s">
        <v>30</v>
      </c>
      <c r="K36">
        <v>6</v>
      </c>
      <c r="L36">
        <v>8</v>
      </c>
      <c r="N36" t="s">
        <v>38</v>
      </c>
      <c r="O36" t="s">
        <v>53</v>
      </c>
    </row>
    <row r="37" spans="1:15" x14ac:dyDescent="0.35">
      <c r="A37" t="s">
        <v>115</v>
      </c>
      <c r="B37" t="s">
        <v>116</v>
      </c>
      <c r="C37" t="s">
        <v>17</v>
      </c>
      <c r="D37" t="s">
        <v>74</v>
      </c>
      <c r="E37" t="s">
        <v>27</v>
      </c>
      <c r="F37" s="1">
        <v>46074.583333333343</v>
      </c>
      <c r="H37" t="s">
        <v>36</v>
      </c>
      <c r="I37" t="s">
        <v>37</v>
      </c>
      <c r="J37" t="s">
        <v>30</v>
      </c>
      <c r="K37">
        <v>2</v>
      </c>
      <c r="L37">
        <v>48</v>
      </c>
      <c r="N37" t="s">
        <v>23</v>
      </c>
      <c r="O37" t="s">
        <v>39</v>
      </c>
    </row>
    <row r="38" spans="1:15" x14ac:dyDescent="0.35">
      <c r="A38" t="s">
        <v>117</v>
      </c>
      <c r="B38" t="s">
        <v>118</v>
      </c>
      <c r="C38" t="s">
        <v>71</v>
      </c>
      <c r="D38" t="s">
        <v>34</v>
      </c>
      <c r="E38" t="s">
        <v>35</v>
      </c>
      <c r="F38" s="1">
        <v>46094.458333333343</v>
      </c>
      <c r="H38" t="s">
        <v>28</v>
      </c>
      <c r="I38" t="s">
        <v>67</v>
      </c>
      <c r="J38" t="s">
        <v>52</v>
      </c>
      <c r="K38">
        <v>4</v>
      </c>
      <c r="L38">
        <v>24</v>
      </c>
      <c r="N38" t="s">
        <v>23</v>
      </c>
      <c r="O38" t="s">
        <v>47</v>
      </c>
    </row>
    <row r="39" spans="1:15" x14ac:dyDescent="0.35">
      <c r="A39" t="s">
        <v>119</v>
      </c>
      <c r="B39" t="s">
        <v>120</v>
      </c>
      <c r="C39" t="s">
        <v>33</v>
      </c>
      <c r="D39" t="s">
        <v>34</v>
      </c>
      <c r="E39" t="s">
        <v>35</v>
      </c>
      <c r="F39" s="1">
        <v>46050.791666666657</v>
      </c>
      <c r="H39" t="s">
        <v>63</v>
      </c>
      <c r="I39" t="s">
        <v>37</v>
      </c>
      <c r="J39" t="s">
        <v>52</v>
      </c>
      <c r="L39">
        <v>8</v>
      </c>
      <c r="N39" t="s">
        <v>38</v>
      </c>
      <c r="O39" t="s">
        <v>44</v>
      </c>
    </row>
    <row r="40" spans="1:15" x14ac:dyDescent="0.35">
      <c r="A40" t="s">
        <v>121</v>
      </c>
      <c r="B40" t="s">
        <v>116</v>
      </c>
      <c r="C40" t="s">
        <v>33</v>
      </c>
      <c r="D40" t="s">
        <v>77</v>
      </c>
      <c r="E40" t="s">
        <v>19</v>
      </c>
      <c r="F40" s="1">
        <v>46034.541666666657</v>
      </c>
      <c r="H40" t="s">
        <v>60</v>
      </c>
      <c r="I40" t="s">
        <v>68</v>
      </c>
      <c r="J40" t="s">
        <v>30</v>
      </c>
      <c r="K40">
        <v>24</v>
      </c>
      <c r="L40">
        <v>8</v>
      </c>
      <c r="N40" t="s">
        <v>38</v>
      </c>
      <c r="O40" t="s">
        <v>53</v>
      </c>
    </row>
    <row r="41" spans="1:15" x14ac:dyDescent="0.35">
      <c r="A41" t="s">
        <v>122</v>
      </c>
      <c r="B41" t="s">
        <v>123</v>
      </c>
      <c r="C41" t="s">
        <v>71</v>
      </c>
      <c r="D41" t="s">
        <v>59</v>
      </c>
      <c r="E41" t="s">
        <v>19</v>
      </c>
      <c r="F41" s="1">
        <v>46192.125</v>
      </c>
      <c r="H41" t="s">
        <v>36</v>
      </c>
      <c r="I41" t="s">
        <v>68</v>
      </c>
      <c r="J41" t="s">
        <v>52</v>
      </c>
      <c r="K41">
        <v>18</v>
      </c>
      <c r="L41">
        <v>48</v>
      </c>
      <c r="N41" t="s">
        <v>23</v>
      </c>
      <c r="O41" t="s">
        <v>44</v>
      </c>
    </row>
    <row r="42" spans="1:15" x14ac:dyDescent="0.35">
      <c r="A42" t="s">
        <v>124</v>
      </c>
      <c r="B42" t="s">
        <v>55</v>
      </c>
      <c r="C42" t="s">
        <v>71</v>
      </c>
      <c r="D42" t="s">
        <v>59</v>
      </c>
      <c r="E42" t="s">
        <v>27</v>
      </c>
      <c r="F42" s="1">
        <v>46072.541666666657</v>
      </c>
      <c r="H42" t="s">
        <v>63</v>
      </c>
      <c r="I42" t="s">
        <v>21</v>
      </c>
      <c r="J42" t="s">
        <v>30</v>
      </c>
      <c r="L42">
        <v>8</v>
      </c>
      <c r="N42" t="s">
        <v>23</v>
      </c>
      <c r="O42" t="s">
        <v>24</v>
      </c>
    </row>
    <row r="43" spans="1:15" x14ac:dyDescent="0.35">
      <c r="A43" t="s">
        <v>125</v>
      </c>
      <c r="B43" t="s">
        <v>118</v>
      </c>
      <c r="C43" t="s">
        <v>33</v>
      </c>
      <c r="D43" t="s">
        <v>18</v>
      </c>
      <c r="E43" t="s">
        <v>19</v>
      </c>
      <c r="F43" s="1">
        <v>46096.25</v>
      </c>
      <c r="H43" t="s">
        <v>63</v>
      </c>
      <c r="I43" t="s">
        <v>43</v>
      </c>
      <c r="J43" t="s">
        <v>52</v>
      </c>
      <c r="K43">
        <v>30</v>
      </c>
      <c r="L43">
        <v>8</v>
      </c>
      <c r="M43">
        <v>6</v>
      </c>
      <c r="N43" t="s">
        <v>23</v>
      </c>
      <c r="O43" t="s">
        <v>44</v>
      </c>
    </row>
    <row r="44" spans="1:15" x14ac:dyDescent="0.35">
      <c r="A44" t="s">
        <v>126</v>
      </c>
      <c r="B44" t="s">
        <v>127</v>
      </c>
      <c r="C44" t="s">
        <v>49</v>
      </c>
      <c r="D44" t="s">
        <v>59</v>
      </c>
      <c r="E44" t="s">
        <v>50</v>
      </c>
      <c r="F44" s="1">
        <v>46066.083333333343</v>
      </c>
      <c r="H44" t="s">
        <v>36</v>
      </c>
      <c r="I44" t="s">
        <v>68</v>
      </c>
      <c r="J44" t="s">
        <v>52</v>
      </c>
      <c r="K44">
        <v>8</v>
      </c>
      <c r="L44">
        <v>48</v>
      </c>
      <c r="N44" t="s">
        <v>23</v>
      </c>
      <c r="O44" t="s">
        <v>47</v>
      </c>
    </row>
    <row r="45" spans="1:15" x14ac:dyDescent="0.35">
      <c r="A45" t="s">
        <v>128</v>
      </c>
      <c r="B45" t="s">
        <v>129</v>
      </c>
      <c r="C45" t="s">
        <v>49</v>
      </c>
      <c r="D45" t="s">
        <v>77</v>
      </c>
      <c r="E45" t="s">
        <v>35</v>
      </c>
      <c r="F45" s="1">
        <v>46034.291666666657</v>
      </c>
      <c r="G45" s="1">
        <v>46035.291666666657</v>
      </c>
      <c r="H45" t="s">
        <v>63</v>
      </c>
      <c r="I45" t="s">
        <v>68</v>
      </c>
      <c r="J45" t="s">
        <v>22</v>
      </c>
      <c r="K45">
        <v>24</v>
      </c>
      <c r="L45">
        <v>8</v>
      </c>
      <c r="N45" t="s">
        <v>23</v>
      </c>
      <c r="O45" t="s">
        <v>44</v>
      </c>
    </row>
    <row r="46" spans="1:15" x14ac:dyDescent="0.35">
      <c r="A46" t="s">
        <v>130</v>
      </c>
      <c r="B46" t="s">
        <v>131</v>
      </c>
      <c r="C46" t="s">
        <v>56</v>
      </c>
      <c r="D46" t="s">
        <v>74</v>
      </c>
      <c r="E46" t="s">
        <v>50</v>
      </c>
      <c r="F46" s="1">
        <v>46125.291666666657</v>
      </c>
      <c r="G46" s="1">
        <v>46126.291666666657</v>
      </c>
      <c r="H46" t="s">
        <v>20</v>
      </c>
      <c r="I46" t="s">
        <v>21</v>
      </c>
      <c r="J46" t="s">
        <v>22</v>
      </c>
      <c r="K46">
        <v>24</v>
      </c>
      <c r="L46">
        <v>24</v>
      </c>
      <c r="M46">
        <v>2</v>
      </c>
      <c r="N46" t="s">
        <v>23</v>
      </c>
      <c r="O46" t="s">
        <v>47</v>
      </c>
    </row>
    <row r="47" spans="1:15" x14ac:dyDescent="0.35">
      <c r="A47" t="s">
        <v>132</v>
      </c>
      <c r="B47" t="s">
        <v>114</v>
      </c>
      <c r="C47" t="s">
        <v>56</v>
      </c>
      <c r="D47" t="s">
        <v>59</v>
      </c>
      <c r="E47" t="s">
        <v>50</v>
      </c>
      <c r="F47" s="1">
        <v>46035.708333333343</v>
      </c>
      <c r="G47" s="1">
        <v>46035.958333333343</v>
      </c>
      <c r="H47" t="s">
        <v>20</v>
      </c>
      <c r="I47" t="s">
        <v>43</v>
      </c>
      <c r="J47" t="s">
        <v>22</v>
      </c>
      <c r="K47">
        <v>6</v>
      </c>
      <c r="L47">
        <v>24</v>
      </c>
      <c r="N47" t="s">
        <v>23</v>
      </c>
      <c r="O47" t="s">
        <v>44</v>
      </c>
    </row>
    <row r="48" spans="1:15" x14ac:dyDescent="0.35">
      <c r="A48" t="s">
        <v>133</v>
      </c>
      <c r="B48" t="s">
        <v>123</v>
      </c>
      <c r="C48" t="s">
        <v>33</v>
      </c>
      <c r="D48" t="s">
        <v>59</v>
      </c>
      <c r="E48" t="s">
        <v>46</v>
      </c>
      <c r="F48" s="1">
        <v>46104.583333333343</v>
      </c>
      <c r="G48" s="1">
        <v>46105.833333333343</v>
      </c>
      <c r="H48" t="s">
        <v>28</v>
      </c>
      <c r="I48" t="s">
        <v>43</v>
      </c>
      <c r="J48" t="s">
        <v>64</v>
      </c>
      <c r="K48">
        <v>30</v>
      </c>
      <c r="L48">
        <v>24</v>
      </c>
      <c r="M48">
        <v>2</v>
      </c>
      <c r="N48" t="s">
        <v>23</v>
      </c>
      <c r="O48" t="s">
        <v>24</v>
      </c>
    </row>
    <row r="49" spans="1:15" x14ac:dyDescent="0.35">
      <c r="A49" t="s">
        <v>134</v>
      </c>
      <c r="B49" t="s">
        <v>32</v>
      </c>
      <c r="C49" t="s">
        <v>71</v>
      </c>
      <c r="D49" t="s">
        <v>77</v>
      </c>
      <c r="E49" t="s">
        <v>19</v>
      </c>
      <c r="F49" s="1">
        <v>46156.625</v>
      </c>
      <c r="G49" s="1">
        <v>46157.125</v>
      </c>
      <c r="H49" t="s">
        <v>20</v>
      </c>
      <c r="I49" t="s">
        <v>37</v>
      </c>
      <c r="J49" t="s">
        <v>64</v>
      </c>
      <c r="K49">
        <v>12</v>
      </c>
      <c r="L49">
        <v>24</v>
      </c>
      <c r="M49">
        <v>2</v>
      </c>
      <c r="N49" t="s">
        <v>23</v>
      </c>
      <c r="O49" t="s">
        <v>47</v>
      </c>
    </row>
    <row r="50" spans="1:15" x14ac:dyDescent="0.35">
      <c r="A50" t="s">
        <v>135</v>
      </c>
      <c r="B50" t="s">
        <v>136</v>
      </c>
      <c r="C50" t="s">
        <v>71</v>
      </c>
      <c r="D50" t="s">
        <v>59</v>
      </c>
      <c r="E50" t="s">
        <v>35</v>
      </c>
      <c r="F50" s="1">
        <v>46058.166666666657</v>
      </c>
      <c r="H50" t="s">
        <v>20</v>
      </c>
      <c r="I50" t="s">
        <v>67</v>
      </c>
      <c r="J50" t="s">
        <v>30</v>
      </c>
      <c r="K50">
        <v>4</v>
      </c>
      <c r="L50">
        <v>24</v>
      </c>
      <c r="N50" t="s">
        <v>23</v>
      </c>
      <c r="O50" t="s">
        <v>39</v>
      </c>
    </row>
    <row r="51" spans="1:15" x14ac:dyDescent="0.35">
      <c r="A51" t="s">
        <v>137</v>
      </c>
      <c r="B51" t="s">
        <v>138</v>
      </c>
      <c r="C51" t="s">
        <v>71</v>
      </c>
      <c r="D51" t="s">
        <v>59</v>
      </c>
      <c r="E51" t="s">
        <v>50</v>
      </c>
      <c r="F51" s="1">
        <v>46129.041666666657</v>
      </c>
      <c r="H51" t="s">
        <v>20</v>
      </c>
      <c r="I51" t="s">
        <v>43</v>
      </c>
      <c r="J51" t="s">
        <v>64</v>
      </c>
      <c r="L51">
        <v>24</v>
      </c>
      <c r="N51" t="s">
        <v>38</v>
      </c>
      <c r="O51" t="s">
        <v>44</v>
      </c>
    </row>
    <row r="52" spans="1:15" x14ac:dyDescent="0.35">
      <c r="A52" t="s">
        <v>139</v>
      </c>
      <c r="B52" t="s">
        <v>140</v>
      </c>
      <c r="C52" t="s">
        <v>33</v>
      </c>
      <c r="D52" t="s">
        <v>74</v>
      </c>
      <c r="E52" t="s">
        <v>50</v>
      </c>
      <c r="F52" s="1">
        <v>46024.458333333343</v>
      </c>
      <c r="G52" s="1">
        <v>46026.458333333343</v>
      </c>
      <c r="H52" t="s">
        <v>36</v>
      </c>
      <c r="I52" t="s">
        <v>43</v>
      </c>
      <c r="J52" t="s">
        <v>64</v>
      </c>
      <c r="K52">
        <v>48</v>
      </c>
      <c r="L52">
        <v>48</v>
      </c>
      <c r="N52" t="s">
        <v>23</v>
      </c>
      <c r="O52" t="s">
        <v>44</v>
      </c>
    </row>
    <row r="53" spans="1:15" x14ac:dyDescent="0.35">
      <c r="A53" t="s">
        <v>141</v>
      </c>
      <c r="B53" t="s">
        <v>142</v>
      </c>
      <c r="C53" t="s">
        <v>49</v>
      </c>
      <c r="D53" t="s">
        <v>34</v>
      </c>
      <c r="E53" t="s">
        <v>50</v>
      </c>
      <c r="F53" s="1">
        <v>46147</v>
      </c>
      <c r="G53" s="1">
        <v>46148.25</v>
      </c>
      <c r="H53" t="s">
        <v>63</v>
      </c>
      <c r="I53" t="s">
        <v>37</v>
      </c>
      <c r="J53" t="s">
        <v>64</v>
      </c>
      <c r="K53">
        <v>30</v>
      </c>
      <c r="L53">
        <v>8</v>
      </c>
      <c r="M53">
        <v>2</v>
      </c>
      <c r="N53" t="s">
        <v>38</v>
      </c>
      <c r="O53" t="s">
        <v>39</v>
      </c>
    </row>
    <row r="54" spans="1:15" x14ac:dyDescent="0.35">
      <c r="A54" t="s">
        <v>143</v>
      </c>
      <c r="B54" t="s">
        <v>144</v>
      </c>
      <c r="C54" t="s">
        <v>42</v>
      </c>
      <c r="D54" t="s">
        <v>59</v>
      </c>
      <c r="E54" t="s">
        <v>46</v>
      </c>
      <c r="F54" s="1">
        <v>46192</v>
      </c>
      <c r="G54" s="1">
        <v>46193.25</v>
      </c>
      <c r="H54" t="s">
        <v>60</v>
      </c>
      <c r="I54" t="s">
        <v>21</v>
      </c>
      <c r="J54" t="s">
        <v>64</v>
      </c>
      <c r="K54">
        <v>-5</v>
      </c>
      <c r="L54">
        <v>8</v>
      </c>
      <c r="M54">
        <v>2</v>
      </c>
      <c r="N54" t="s">
        <v>38</v>
      </c>
      <c r="O54" t="s">
        <v>39</v>
      </c>
    </row>
    <row r="55" spans="1:15" x14ac:dyDescent="0.35">
      <c r="A55" t="s">
        <v>145</v>
      </c>
      <c r="B55" t="s">
        <v>146</v>
      </c>
      <c r="C55" t="s">
        <v>42</v>
      </c>
      <c r="D55" t="s">
        <v>34</v>
      </c>
      <c r="E55" t="s">
        <v>27</v>
      </c>
      <c r="F55" s="1">
        <v>46139.416666666657</v>
      </c>
      <c r="G55" s="1">
        <v>46140.416666666657</v>
      </c>
      <c r="H55" t="s">
        <v>36</v>
      </c>
      <c r="I55" t="s">
        <v>43</v>
      </c>
      <c r="J55" t="s">
        <v>64</v>
      </c>
      <c r="K55">
        <v>24</v>
      </c>
      <c r="L55">
        <v>48</v>
      </c>
      <c r="M55">
        <v>3</v>
      </c>
      <c r="N55" t="s">
        <v>38</v>
      </c>
      <c r="O55" t="s">
        <v>53</v>
      </c>
    </row>
    <row r="56" spans="1:15" x14ac:dyDescent="0.35">
      <c r="A56" t="s">
        <v>147</v>
      </c>
      <c r="B56" t="s">
        <v>148</v>
      </c>
      <c r="C56" t="s">
        <v>17</v>
      </c>
      <c r="D56" t="s">
        <v>59</v>
      </c>
      <c r="E56" t="s">
        <v>35</v>
      </c>
      <c r="F56" s="1">
        <v>46112.291666666657</v>
      </c>
      <c r="G56" s="1">
        <v>46112.625</v>
      </c>
      <c r="H56" t="s">
        <v>60</v>
      </c>
      <c r="I56" t="s">
        <v>43</v>
      </c>
      <c r="J56" t="s">
        <v>22</v>
      </c>
      <c r="K56">
        <v>8</v>
      </c>
      <c r="L56">
        <v>8</v>
      </c>
      <c r="M56">
        <v>2</v>
      </c>
      <c r="N56" t="s">
        <v>38</v>
      </c>
      <c r="O56" t="s">
        <v>47</v>
      </c>
    </row>
    <row r="57" spans="1:15" x14ac:dyDescent="0.35">
      <c r="A57" t="s">
        <v>149</v>
      </c>
      <c r="B57" t="s">
        <v>103</v>
      </c>
      <c r="C57" t="s">
        <v>49</v>
      </c>
      <c r="D57" t="s">
        <v>77</v>
      </c>
      <c r="E57" t="s">
        <v>27</v>
      </c>
      <c r="F57" s="1">
        <v>46144.125</v>
      </c>
      <c r="G57" s="1">
        <v>46144.875</v>
      </c>
      <c r="H57" t="s">
        <v>28</v>
      </c>
      <c r="I57" t="s">
        <v>51</v>
      </c>
      <c r="J57" t="s">
        <v>64</v>
      </c>
      <c r="K57">
        <v>18</v>
      </c>
      <c r="L57">
        <v>24</v>
      </c>
      <c r="M57">
        <v>2</v>
      </c>
      <c r="N57" t="s">
        <v>38</v>
      </c>
      <c r="O57" t="s">
        <v>53</v>
      </c>
    </row>
    <row r="58" spans="1:15" x14ac:dyDescent="0.35">
      <c r="A58" t="s">
        <v>150</v>
      </c>
      <c r="B58" t="s">
        <v>110</v>
      </c>
      <c r="C58" t="s">
        <v>49</v>
      </c>
      <c r="D58" t="s">
        <v>34</v>
      </c>
      <c r="E58" t="s">
        <v>35</v>
      </c>
      <c r="F58" s="1">
        <v>46171</v>
      </c>
      <c r="G58" s="1">
        <v>46171.333333333343</v>
      </c>
      <c r="H58" t="s">
        <v>36</v>
      </c>
      <c r="I58" t="s">
        <v>68</v>
      </c>
      <c r="J58" t="s">
        <v>64</v>
      </c>
      <c r="K58">
        <v>8</v>
      </c>
      <c r="L58">
        <v>48</v>
      </c>
      <c r="M58">
        <v>1</v>
      </c>
      <c r="N58" t="s">
        <v>23</v>
      </c>
      <c r="O58" t="s">
        <v>44</v>
      </c>
    </row>
    <row r="59" spans="1:15" x14ac:dyDescent="0.35">
      <c r="A59" t="s">
        <v>151</v>
      </c>
      <c r="B59" t="s">
        <v>152</v>
      </c>
      <c r="C59" t="s">
        <v>56</v>
      </c>
      <c r="D59" t="s">
        <v>34</v>
      </c>
      <c r="E59" t="s">
        <v>46</v>
      </c>
      <c r="F59" s="1">
        <v>46053.75</v>
      </c>
      <c r="G59" s="1">
        <v>46053.916666666657</v>
      </c>
      <c r="H59" t="s">
        <v>60</v>
      </c>
      <c r="I59" t="s">
        <v>37</v>
      </c>
      <c r="J59" t="s">
        <v>64</v>
      </c>
      <c r="K59">
        <v>4</v>
      </c>
      <c r="L59">
        <v>8</v>
      </c>
      <c r="M59">
        <v>5</v>
      </c>
      <c r="N59" t="s">
        <v>23</v>
      </c>
      <c r="O59" t="s">
        <v>53</v>
      </c>
    </row>
    <row r="60" spans="1:15" x14ac:dyDescent="0.35">
      <c r="A60" t="s">
        <v>153</v>
      </c>
      <c r="B60" t="s">
        <v>84</v>
      </c>
      <c r="C60" t="s">
        <v>42</v>
      </c>
      <c r="D60" t="s">
        <v>74</v>
      </c>
      <c r="E60" t="s">
        <v>35</v>
      </c>
      <c r="F60" s="1">
        <v>46133.458333333343</v>
      </c>
      <c r="H60" t="s">
        <v>63</v>
      </c>
      <c r="I60" t="s">
        <v>21</v>
      </c>
      <c r="J60" t="s">
        <v>30</v>
      </c>
      <c r="K60">
        <v>6</v>
      </c>
      <c r="L60">
        <v>8</v>
      </c>
      <c r="N60" t="s">
        <v>23</v>
      </c>
      <c r="O60" t="s">
        <v>44</v>
      </c>
    </row>
    <row r="61" spans="1:15" x14ac:dyDescent="0.35">
      <c r="A61" t="s">
        <v>154</v>
      </c>
      <c r="B61" t="s">
        <v>103</v>
      </c>
      <c r="C61" t="s">
        <v>33</v>
      </c>
      <c r="D61" t="s">
        <v>74</v>
      </c>
      <c r="E61" t="s">
        <v>50</v>
      </c>
      <c r="F61" s="1">
        <v>46134.75</v>
      </c>
      <c r="H61" t="s">
        <v>36</v>
      </c>
      <c r="I61" t="s">
        <v>37</v>
      </c>
      <c r="J61" t="s">
        <v>30</v>
      </c>
      <c r="K61">
        <v>12</v>
      </c>
      <c r="L61">
        <v>48</v>
      </c>
      <c r="N61" t="s">
        <v>23</v>
      </c>
      <c r="O61" t="s">
        <v>47</v>
      </c>
    </row>
    <row r="62" spans="1:15" x14ac:dyDescent="0.35">
      <c r="A62" t="s">
        <v>155</v>
      </c>
      <c r="B62" t="s">
        <v>79</v>
      </c>
      <c r="C62" t="s">
        <v>42</v>
      </c>
      <c r="D62" t="s">
        <v>59</v>
      </c>
      <c r="E62" t="s">
        <v>46</v>
      </c>
      <c r="F62" s="1">
        <v>46194.5</v>
      </c>
      <c r="G62" s="1">
        <v>46194.75</v>
      </c>
      <c r="H62" t="s">
        <v>36</v>
      </c>
      <c r="I62" t="s">
        <v>29</v>
      </c>
      <c r="J62" t="s">
        <v>64</v>
      </c>
      <c r="K62">
        <v>6</v>
      </c>
      <c r="L62">
        <v>48</v>
      </c>
      <c r="M62">
        <v>4</v>
      </c>
      <c r="N62" t="s">
        <v>23</v>
      </c>
      <c r="O62" t="s">
        <v>53</v>
      </c>
    </row>
    <row r="63" spans="1:15" x14ac:dyDescent="0.35">
      <c r="A63" t="s">
        <v>156</v>
      </c>
      <c r="B63" t="s">
        <v>88</v>
      </c>
      <c r="C63" t="s">
        <v>71</v>
      </c>
      <c r="D63" t="s">
        <v>34</v>
      </c>
      <c r="E63" t="s">
        <v>19</v>
      </c>
      <c r="F63" s="1">
        <v>46175.333333333343</v>
      </c>
      <c r="H63" t="s">
        <v>28</v>
      </c>
      <c r="I63" t="s">
        <v>29</v>
      </c>
      <c r="J63" t="s">
        <v>30</v>
      </c>
      <c r="K63">
        <v>8</v>
      </c>
      <c r="L63">
        <v>24</v>
      </c>
      <c r="N63" t="s">
        <v>23</v>
      </c>
      <c r="O63" t="s">
        <v>47</v>
      </c>
    </row>
    <row r="64" spans="1:15" x14ac:dyDescent="0.35">
      <c r="A64" t="s">
        <v>157</v>
      </c>
      <c r="B64" t="s">
        <v>142</v>
      </c>
      <c r="C64" t="s">
        <v>33</v>
      </c>
      <c r="D64" t="s">
        <v>77</v>
      </c>
      <c r="E64" t="s">
        <v>50</v>
      </c>
      <c r="F64" s="1">
        <v>46188.625</v>
      </c>
      <c r="G64" s="1">
        <v>46189.125</v>
      </c>
      <c r="H64" t="s">
        <v>63</v>
      </c>
      <c r="I64" t="s">
        <v>43</v>
      </c>
      <c r="J64" t="s">
        <v>22</v>
      </c>
      <c r="K64">
        <v>12</v>
      </c>
      <c r="L64">
        <v>8</v>
      </c>
      <c r="M64">
        <v>2</v>
      </c>
      <c r="N64" t="s">
        <v>23</v>
      </c>
      <c r="O64" t="s">
        <v>47</v>
      </c>
    </row>
    <row r="65" spans="1:15" x14ac:dyDescent="0.35">
      <c r="A65" t="s">
        <v>158</v>
      </c>
      <c r="B65" t="s">
        <v>55</v>
      </c>
      <c r="C65" t="s">
        <v>49</v>
      </c>
      <c r="D65" t="s">
        <v>34</v>
      </c>
      <c r="E65" t="s">
        <v>46</v>
      </c>
      <c r="F65" s="1">
        <v>46117.625</v>
      </c>
      <c r="H65" t="s">
        <v>28</v>
      </c>
      <c r="I65" t="s">
        <v>68</v>
      </c>
      <c r="J65" t="s">
        <v>52</v>
      </c>
      <c r="K65">
        <v>48</v>
      </c>
      <c r="L65">
        <v>24</v>
      </c>
      <c r="N65" t="s">
        <v>23</v>
      </c>
      <c r="O65" t="s">
        <v>44</v>
      </c>
    </row>
    <row r="66" spans="1:15" x14ac:dyDescent="0.35">
      <c r="A66" t="s">
        <v>159</v>
      </c>
      <c r="B66" t="s">
        <v>88</v>
      </c>
      <c r="C66" t="s">
        <v>56</v>
      </c>
      <c r="D66" t="s">
        <v>74</v>
      </c>
      <c r="E66" t="s">
        <v>19</v>
      </c>
      <c r="F66" s="1">
        <v>46101.333333333343</v>
      </c>
      <c r="H66" t="s">
        <v>20</v>
      </c>
      <c r="I66" t="s">
        <v>29</v>
      </c>
      <c r="J66" t="s">
        <v>30</v>
      </c>
      <c r="K66">
        <v>4</v>
      </c>
      <c r="L66">
        <v>24</v>
      </c>
      <c r="N66" t="s">
        <v>23</v>
      </c>
      <c r="O66" t="s">
        <v>53</v>
      </c>
    </row>
    <row r="67" spans="1:15" x14ac:dyDescent="0.35">
      <c r="A67" t="s">
        <v>160</v>
      </c>
      <c r="B67" t="s">
        <v>90</v>
      </c>
      <c r="C67" t="s">
        <v>49</v>
      </c>
      <c r="D67" t="s">
        <v>74</v>
      </c>
      <c r="E67" t="s">
        <v>19</v>
      </c>
      <c r="F67" s="1">
        <v>46173.666666666657</v>
      </c>
      <c r="G67" s="1">
        <v>46174.166666666657</v>
      </c>
      <c r="H67" t="s">
        <v>28</v>
      </c>
      <c r="I67" t="s">
        <v>37</v>
      </c>
      <c r="J67" t="s">
        <v>22</v>
      </c>
      <c r="K67">
        <v>12</v>
      </c>
      <c r="L67">
        <v>24</v>
      </c>
      <c r="M67">
        <v>2</v>
      </c>
      <c r="N67" t="s">
        <v>23</v>
      </c>
      <c r="O67" t="s">
        <v>39</v>
      </c>
    </row>
    <row r="68" spans="1:15" x14ac:dyDescent="0.35">
      <c r="A68" t="s">
        <v>161</v>
      </c>
      <c r="B68" t="s">
        <v>120</v>
      </c>
      <c r="C68" t="s">
        <v>71</v>
      </c>
      <c r="D68" t="s">
        <v>18</v>
      </c>
      <c r="E68" t="s">
        <v>46</v>
      </c>
      <c r="F68" s="1">
        <v>46055.333333333343</v>
      </c>
      <c r="H68" t="s">
        <v>60</v>
      </c>
      <c r="I68" t="s">
        <v>29</v>
      </c>
      <c r="J68" t="s">
        <v>52</v>
      </c>
      <c r="K68">
        <v>30</v>
      </c>
      <c r="L68">
        <v>8</v>
      </c>
      <c r="N68" t="s">
        <v>38</v>
      </c>
      <c r="O68" t="s">
        <v>39</v>
      </c>
    </row>
    <row r="69" spans="1:15" x14ac:dyDescent="0.35">
      <c r="A69" t="s">
        <v>162</v>
      </c>
      <c r="B69" t="s">
        <v>163</v>
      </c>
      <c r="C69" t="s">
        <v>17</v>
      </c>
      <c r="D69" t="s">
        <v>59</v>
      </c>
      <c r="E69" t="s">
        <v>19</v>
      </c>
      <c r="F69" s="1">
        <v>46096</v>
      </c>
      <c r="H69" t="s">
        <v>63</v>
      </c>
      <c r="I69" t="s">
        <v>37</v>
      </c>
      <c r="J69" t="s">
        <v>30</v>
      </c>
      <c r="K69">
        <v>12</v>
      </c>
      <c r="L69">
        <v>8</v>
      </c>
      <c r="N69" t="s">
        <v>23</v>
      </c>
      <c r="O69" t="s">
        <v>47</v>
      </c>
    </row>
    <row r="70" spans="1:15" x14ac:dyDescent="0.35">
      <c r="A70" t="s">
        <v>164</v>
      </c>
      <c r="B70" t="s">
        <v>165</v>
      </c>
      <c r="C70" t="s">
        <v>17</v>
      </c>
      <c r="D70" t="s">
        <v>74</v>
      </c>
      <c r="E70" t="s">
        <v>50</v>
      </c>
      <c r="F70" s="1">
        <v>46041.75</v>
      </c>
      <c r="H70" t="s">
        <v>60</v>
      </c>
      <c r="I70" t="s">
        <v>51</v>
      </c>
      <c r="J70" t="s">
        <v>30</v>
      </c>
      <c r="K70">
        <v>12</v>
      </c>
      <c r="L70">
        <v>8</v>
      </c>
      <c r="N70" t="s">
        <v>38</v>
      </c>
      <c r="O70" t="s">
        <v>24</v>
      </c>
    </row>
    <row r="71" spans="1:15" x14ac:dyDescent="0.35">
      <c r="A71" t="s">
        <v>166</v>
      </c>
      <c r="B71" t="s">
        <v>79</v>
      </c>
      <c r="C71" t="s">
        <v>17</v>
      </c>
      <c r="D71" t="s">
        <v>59</v>
      </c>
      <c r="E71" t="s">
        <v>50</v>
      </c>
      <c r="F71" s="1">
        <v>46178.791666666657</v>
      </c>
      <c r="G71" s="1">
        <v>46180.041666666657</v>
      </c>
      <c r="H71" t="s">
        <v>28</v>
      </c>
      <c r="I71" t="s">
        <v>51</v>
      </c>
      <c r="J71" t="s">
        <v>64</v>
      </c>
      <c r="K71">
        <v>30</v>
      </c>
      <c r="L71">
        <v>24</v>
      </c>
      <c r="M71">
        <v>3</v>
      </c>
      <c r="N71" t="s">
        <v>23</v>
      </c>
      <c r="O71" t="s">
        <v>44</v>
      </c>
    </row>
    <row r="72" spans="1:15" x14ac:dyDescent="0.35">
      <c r="A72" t="s">
        <v>167</v>
      </c>
      <c r="B72" t="s">
        <v>168</v>
      </c>
      <c r="C72" t="s">
        <v>33</v>
      </c>
      <c r="D72" t="s">
        <v>59</v>
      </c>
      <c r="E72" t="s">
        <v>35</v>
      </c>
      <c r="F72" s="1">
        <v>46179.125</v>
      </c>
      <c r="H72" t="s">
        <v>20</v>
      </c>
      <c r="I72" t="s">
        <v>21</v>
      </c>
      <c r="J72" t="s">
        <v>30</v>
      </c>
      <c r="K72">
        <v>4</v>
      </c>
      <c r="L72">
        <v>24</v>
      </c>
      <c r="N72" t="s">
        <v>23</v>
      </c>
      <c r="O72" t="s">
        <v>53</v>
      </c>
    </row>
    <row r="73" spans="1:15" x14ac:dyDescent="0.35">
      <c r="A73" t="s">
        <v>169</v>
      </c>
      <c r="B73" t="s">
        <v>79</v>
      </c>
      <c r="C73" t="s">
        <v>49</v>
      </c>
      <c r="D73" t="s">
        <v>59</v>
      </c>
      <c r="E73" t="s">
        <v>35</v>
      </c>
      <c r="F73" s="1">
        <v>46063</v>
      </c>
      <c r="G73" s="1">
        <v>46063.083333333343</v>
      </c>
      <c r="H73" t="s">
        <v>63</v>
      </c>
      <c r="I73" t="s">
        <v>67</v>
      </c>
      <c r="J73" t="s">
        <v>64</v>
      </c>
      <c r="K73">
        <v>2</v>
      </c>
      <c r="L73">
        <v>8</v>
      </c>
      <c r="M73">
        <v>2</v>
      </c>
      <c r="N73" t="s">
        <v>23</v>
      </c>
      <c r="O73" t="s">
        <v>53</v>
      </c>
    </row>
    <row r="74" spans="1:15" x14ac:dyDescent="0.35">
      <c r="A74" t="s">
        <v>170</v>
      </c>
      <c r="B74" t="s">
        <v>131</v>
      </c>
      <c r="C74" t="s">
        <v>71</v>
      </c>
      <c r="D74" t="s">
        <v>74</v>
      </c>
      <c r="E74" t="s">
        <v>35</v>
      </c>
      <c r="F74" s="1">
        <v>46198.291666666657</v>
      </c>
      <c r="H74" t="s">
        <v>36</v>
      </c>
      <c r="I74" t="s">
        <v>43</v>
      </c>
      <c r="J74" t="s">
        <v>30</v>
      </c>
      <c r="K74">
        <v>4</v>
      </c>
      <c r="L74">
        <v>48</v>
      </c>
      <c r="N74" t="s">
        <v>23</v>
      </c>
      <c r="O74" t="s">
        <v>44</v>
      </c>
    </row>
    <row r="75" spans="1:15" x14ac:dyDescent="0.35">
      <c r="A75" t="s">
        <v>171</v>
      </c>
      <c r="B75" t="s">
        <v>172</v>
      </c>
      <c r="C75" t="s">
        <v>49</v>
      </c>
      <c r="D75" t="s">
        <v>34</v>
      </c>
      <c r="E75" t="s">
        <v>27</v>
      </c>
      <c r="F75" s="1">
        <v>46041.041666666657</v>
      </c>
      <c r="H75" t="s">
        <v>20</v>
      </c>
      <c r="I75" t="s">
        <v>43</v>
      </c>
      <c r="J75" t="s">
        <v>52</v>
      </c>
      <c r="L75">
        <v>24</v>
      </c>
      <c r="N75" t="s">
        <v>23</v>
      </c>
      <c r="O75" t="s">
        <v>24</v>
      </c>
    </row>
    <row r="76" spans="1:15" x14ac:dyDescent="0.35">
      <c r="A76" t="s">
        <v>173</v>
      </c>
      <c r="B76" t="s">
        <v>32</v>
      </c>
      <c r="C76" t="s">
        <v>17</v>
      </c>
      <c r="D76" t="s">
        <v>74</v>
      </c>
      <c r="E76" t="s">
        <v>19</v>
      </c>
      <c r="F76" s="1">
        <v>46202.5</v>
      </c>
      <c r="G76" s="1">
        <v>46202.666666666657</v>
      </c>
      <c r="H76" t="s">
        <v>36</v>
      </c>
      <c r="I76" t="s">
        <v>68</v>
      </c>
      <c r="J76" t="s">
        <v>64</v>
      </c>
      <c r="K76">
        <v>4</v>
      </c>
      <c r="L76">
        <v>48</v>
      </c>
      <c r="M76">
        <v>5</v>
      </c>
      <c r="N76" t="s">
        <v>38</v>
      </c>
      <c r="O76" t="s">
        <v>44</v>
      </c>
    </row>
    <row r="77" spans="1:15" x14ac:dyDescent="0.35">
      <c r="A77" t="s">
        <v>174</v>
      </c>
      <c r="B77" t="s">
        <v>107</v>
      </c>
      <c r="C77" t="s">
        <v>42</v>
      </c>
      <c r="D77" t="s">
        <v>34</v>
      </c>
      <c r="E77" t="s">
        <v>46</v>
      </c>
      <c r="F77" s="1">
        <v>46087</v>
      </c>
      <c r="H77" t="s">
        <v>60</v>
      </c>
      <c r="I77" t="s">
        <v>51</v>
      </c>
      <c r="J77" t="s">
        <v>22</v>
      </c>
      <c r="L77">
        <v>8</v>
      </c>
      <c r="N77" t="s">
        <v>38</v>
      </c>
      <c r="O77" t="s">
        <v>53</v>
      </c>
    </row>
    <row r="78" spans="1:15" x14ac:dyDescent="0.35">
      <c r="A78" t="s">
        <v>175</v>
      </c>
      <c r="B78" t="s">
        <v>176</v>
      </c>
      <c r="C78" t="s">
        <v>49</v>
      </c>
      <c r="D78" t="s">
        <v>74</v>
      </c>
      <c r="E78" t="s">
        <v>46</v>
      </c>
      <c r="F78" s="1">
        <v>46189.583333333343</v>
      </c>
      <c r="G78" s="1">
        <v>46189.75</v>
      </c>
      <c r="H78" t="s">
        <v>36</v>
      </c>
      <c r="I78" t="s">
        <v>51</v>
      </c>
      <c r="J78" t="s">
        <v>64</v>
      </c>
      <c r="K78">
        <v>4</v>
      </c>
      <c r="L78">
        <v>48</v>
      </c>
      <c r="M78">
        <v>4</v>
      </c>
      <c r="N78" t="s">
        <v>23</v>
      </c>
      <c r="O78" t="s">
        <v>44</v>
      </c>
    </row>
    <row r="79" spans="1:15" x14ac:dyDescent="0.35">
      <c r="A79" t="s">
        <v>177</v>
      </c>
      <c r="B79" t="s">
        <v>138</v>
      </c>
      <c r="C79" t="s">
        <v>71</v>
      </c>
      <c r="D79" t="s">
        <v>34</v>
      </c>
      <c r="E79" t="s">
        <v>35</v>
      </c>
      <c r="F79" s="1">
        <v>46064.416666666657</v>
      </c>
      <c r="G79" s="1">
        <v>46065.416666666657</v>
      </c>
      <c r="H79" t="s">
        <v>63</v>
      </c>
      <c r="I79" t="s">
        <v>21</v>
      </c>
      <c r="J79" t="s">
        <v>64</v>
      </c>
      <c r="K79">
        <v>24</v>
      </c>
      <c r="L79">
        <v>8</v>
      </c>
      <c r="N79" t="s">
        <v>38</v>
      </c>
      <c r="O79" t="s">
        <v>53</v>
      </c>
    </row>
    <row r="80" spans="1:15" x14ac:dyDescent="0.35">
      <c r="A80" t="s">
        <v>178</v>
      </c>
      <c r="B80" t="s">
        <v>179</v>
      </c>
      <c r="C80" t="s">
        <v>17</v>
      </c>
      <c r="D80" t="s">
        <v>180</v>
      </c>
      <c r="E80" t="s">
        <v>19</v>
      </c>
      <c r="F80" s="1">
        <v>46105.125</v>
      </c>
      <c r="G80" s="1">
        <v>46106.375</v>
      </c>
      <c r="H80" t="s">
        <v>63</v>
      </c>
      <c r="I80" t="s">
        <v>43</v>
      </c>
      <c r="J80" t="s">
        <v>22</v>
      </c>
      <c r="K80">
        <v>30</v>
      </c>
      <c r="L80">
        <v>8</v>
      </c>
      <c r="M80">
        <v>4</v>
      </c>
      <c r="N80" t="s">
        <v>38</v>
      </c>
      <c r="O80" t="s">
        <v>24</v>
      </c>
    </row>
    <row r="81" spans="1:15" x14ac:dyDescent="0.35">
      <c r="A81" t="s">
        <v>181</v>
      </c>
      <c r="B81" t="s">
        <v>90</v>
      </c>
      <c r="C81" t="s">
        <v>33</v>
      </c>
      <c r="D81" t="s">
        <v>34</v>
      </c>
      <c r="E81" t="s">
        <v>46</v>
      </c>
      <c r="F81" s="1">
        <v>46150.833333333343</v>
      </c>
      <c r="G81" s="1">
        <v>46151.333333333343</v>
      </c>
      <c r="H81" t="s">
        <v>63</v>
      </c>
      <c r="I81" t="s">
        <v>43</v>
      </c>
      <c r="J81" t="s">
        <v>22</v>
      </c>
      <c r="K81">
        <v>12</v>
      </c>
      <c r="L81">
        <v>8</v>
      </c>
      <c r="M81">
        <v>5</v>
      </c>
      <c r="N81" t="s">
        <v>23</v>
      </c>
      <c r="O81" t="s">
        <v>39</v>
      </c>
    </row>
    <row r="82" spans="1:15" x14ac:dyDescent="0.35">
      <c r="A82" t="s">
        <v>182</v>
      </c>
      <c r="B82" t="s">
        <v>183</v>
      </c>
      <c r="C82" t="s">
        <v>71</v>
      </c>
      <c r="D82" t="s">
        <v>74</v>
      </c>
      <c r="E82" t="s">
        <v>50</v>
      </c>
      <c r="F82" s="1">
        <v>46054</v>
      </c>
      <c r="H82" t="s">
        <v>28</v>
      </c>
      <c r="I82" t="s">
        <v>43</v>
      </c>
      <c r="J82" t="s">
        <v>30</v>
      </c>
      <c r="K82">
        <v>12</v>
      </c>
      <c r="L82">
        <v>24</v>
      </c>
      <c r="N82" t="s">
        <v>38</v>
      </c>
      <c r="O82" t="s">
        <v>39</v>
      </c>
    </row>
    <row r="83" spans="1:15" x14ac:dyDescent="0.35">
      <c r="A83" t="s">
        <v>184</v>
      </c>
      <c r="B83" t="s">
        <v>81</v>
      </c>
      <c r="C83" t="s">
        <v>42</v>
      </c>
      <c r="D83" t="s">
        <v>18</v>
      </c>
      <c r="E83" t="s">
        <v>27</v>
      </c>
      <c r="F83" s="1">
        <v>46052.583333333343</v>
      </c>
      <c r="H83" t="s">
        <v>60</v>
      </c>
      <c r="I83" t="s">
        <v>21</v>
      </c>
      <c r="J83" t="s">
        <v>30</v>
      </c>
      <c r="K83">
        <v>12</v>
      </c>
      <c r="L83">
        <v>8</v>
      </c>
      <c r="N83" t="s">
        <v>23</v>
      </c>
      <c r="O83" t="s">
        <v>44</v>
      </c>
    </row>
    <row r="84" spans="1:15" x14ac:dyDescent="0.35">
      <c r="A84" t="s">
        <v>185</v>
      </c>
      <c r="B84" t="s">
        <v>138</v>
      </c>
      <c r="C84" t="s">
        <v>42</v>
      </c>
      <c r="D84" t="s">
        <v>74</v>
      </c>
      <c r="E84" t="s">
        <v>27</v>
      </c>
      <c r="F84" s="1">
        <v>46139.708333333343</v>
      </c>
      <c r="H84" t="s">
        <v>20</v>
      </c>
      <c r="I84" t="s">
        <v>67</v>
      </c>
      <c r="J84" t="s">
        <v>30</v>
      </c>
      <c r="K84">
        <v>48</v>
      </c>
      <c r="L84">
        <v>24</v>
      </c>
      <c r="N84" t="s">
        <v>23</v>
      </c>
      <c r="O84" t="s">
        <v>24</v>
      </c>
    </row>
    <row r="85" spans="1:15" x14ac:dyDescent="0.35">
      <c r="A85" t="s">
        <v>186</v>
      </c>
      <c r="B85" t="s">
        <v>163</v>
      </c>
      <c r="C85" t="s">
        <v>17</v>
      </c>
      <c r="D85" t="s">
        <v>34</v>
      </c>
      <c r="E85" t="s">
        <v>50</v>
      </c>
      <c r="F85" s="1">
        <v>46110.666666666657</v>
      </c>
      <c r="G85" s="1">
        <v>46111.166666666657</v>
      </c>
      <c r="H85" t="s">
        <v>36</v>
      </c>
      <c r="I85" t="s">
        <v>43</v>
      </c>
      <c r="J85" t="s">
        <v>22</v>
      </c>
      <c r="K85">
        <v>12</v>
      </c>
      <c r="L85">
        <v>48</v>
      </c>
      <c r="N85" t="s">
        <v>23</v>
      </c>
      <c r="O85" t="s">
        <v>53</v>
      </c>
    </row>
    <row r="86" spans="1:15" x14ac:dyDescent="0.35">
      <c r="A86" t="s">
        <v>187</v>
      </c>
      <c r="B86" t="s">
        <v>163</v>
      </c>
      <c r="C86" t="s">
        <v>49</v>
      </c>
      <c r="D86" t="s">
        <v>74</v>
      </c>
      <c r="E86" t="s">
        <v>46</v>
      </c>
      <c r="F86" s="1">
        <v>46146.458333333343</v>
      </c>
      <c r="G86" s="1">
        <v>46147.208333333343</v>
      </c>
      <c r="H86" t="s">
        <v>36</v>
      </c>
      <c r="I86" t="s">
        <v>68</v>
      </c>
      <c r="J86" t="s">
        <v>64</v>
      </c>
      <c r="K86">
        <v>18</v>
      </c>
      <c r="L86">
        <v>48</v>
      </c>
      <c r="N86" t="s">
        <v>23</v>
      </c>
      <c r="O86" t="s">
        <v>44</v>
      </c>
    </row>
    <row r="87" spans="1:15" x14ac:dyDescent="0.35">
      <c r="A87" t="s">
        <v>188</v>
      </c>
      <c r="B87" t="s">
        <v>55</v>
      </c>
      <c r="C87" t="s">
        <v>49</v>
      </c>
      <c r="D87" t="s">
        <v>59</v>
      </c>
      <c r="E87" t="s">
        <v>50</v>
      </c>
      <c r="F87" s="1">
        <v>46082.541666666657</v>
      </c>
      <c r="G87" s="1">
        <v>46083.541666666657</v>
      </c>
      <c r="H87" t="s">
        <v>60</v>
      </c>
      <c r="I87" t="s">
        <v>37</v>
      </c>
      <c r="J87" t="s">
        <v>64</v>
      </c>
      <c r="K87">
        <v>24</v>
      </c>
      <c r="L87">
        <v>8</v>
      </c>
      <c r="N87" t="s">
        <v>23</v>
      </c>
      <c r="O87" t="s">
        <v>44</v>
      </c>
    </row>
    <row r="88" spans="1:15" x14ac:dyDescent="0.35">
      <c r="A88" t="s">
        <v>189</v>
      </c>
      <c r="B88" t="s">
        <v>142</v>
      </c>
      <c r="C88" t="s">
        <v>17</v>
      </c>
      <c r="D88" t="s">
        <v>77</v>
      </c>
      <c r="E88" t="s">
        <v>46</v>
      </c>
      <c r="F88" s="1">
        <v>46174.416666666657</v>
      </c>
      <c r="G88" s="1">
        <v>46176.416666666657</v>
      </c>
      <c r="H88" t="s">
        <v>60</v>
      </c>
      <c r="I88" t="s">
        <v>43</v>
      </c>
      <c r="J88" t="s">
        <v>64</v>
      </c>
      <c r="K88">
        <v>48</v>
      </c>
      <c r="L88">
        <v>8</v>
      </c>
      <c r="M88">
        <v>4</v>
      </c>
      <c r="N88" t="s">
        <v>38</v>
      </c>
      <c r="O88" t="s">
        <v>47</v>
      </c>
    </row>
    <row r="89" spans="1:15" x14ac:dyDescent="0.35">
      <c r="A89" t="s">
        <v>190</v>
      </c>
      <c r="B89" t="s">
        <v>191</v>
      </c>
      <c r="C89" t="s">
        <v>49</v>
      </c>
      <c r="D89" t="s">
        <v>74</v>
      </c>
      <c r="E89" t="s">
        <v>27</v>
      </c>
      <c r="F89" s="1">
        <v>46042.625</v>
      </c>
      <c r="G89" s="1">
        <v>46043.375</v>
      </c>
      <c r="H89" t="s">
        <v>36</v>
      </c>
      <c r="I89" t="s">
        <v>37</v>
      </c>
      <c r="J89" t="s">
        <v>64</v>
      </c>
      <c r="K89">
        <v>18</v>
      </c>
      <c r="L89">
        <v>48</v>
      </c>
      <c r="N89" t="s">
        <v>23</v>
      </c>
      <c r="O89" t="s">
        <v>47</v>
      </c>
    </row>
    <row r="90" spans="1:15" x14ac:dyDescent="0.35">
      <c r="A90" t="s">
        <v>192</v>
      </c>
      <c r="B90" t="s">
        <v>193</v>
      </c>
      <c r="C90" t="s">
        <v>56</v>
      </c>
      <c r="D90" t="s">
        <v>74</v>
      </c>
      <c r="E90" t="s">
        <v>46</v>
      </c>
      <c r="F90" s="1">
        <v>46032.791666666657</v>
      </c>
      <c r="H90" t="s">
        <v>60</v>
      </c>
      <c r="I90" t="s">
        <v>51</v>
      </c>
      <c r="J90" t="s">
        <v>52</v>
      </c>
      <c r="K90">
        <v>4</v>
      </c>
      <c r="L90">
        <v>8</v>
      </c>
      <c r="N90" t="s">
        <v>23</v>
      </c>
      <c r="O90" t="s">
        <v>39</v>
      </c>
    </row>
    <row r="91" spans="1:15" x14ac:dyDescent="0.35">
      <c r="A91" t="s">
        <v>194</v>
      </c>
      <c r="B91" t="s">
        <v>152</v>
      </c>
      <c r="C91" t="s">
        <v>56</v>
      </c>
      <c r="D91" t="s">
        <v>18</v>
      </c>
      <c r="E91" t="s">
        <v>50</v>
      </c>
      <c r="F91" s="1">
        <v>46065.375</v>
      </c>
      <c r="H91" t="s">
        <v>60</v>
      </c>
      <c r="I91" t="s">
        <v>29</v>
      </c>
      <c r="J91" t="s">
        <v>52</v>
      </c>
      <c r="K91">
        <v>12</v>
      </c>
      <c r="L91">
        <v>8</v>
      </c>
      <c r="N91" t="s">
        <v>23</v>
      </c>
      <c r="O91" t="s">
        <v>47</v>
      </c>
    </row>
    <row r="92" spans="1:15" x14ac:dyDescent="0.35">
      <c r="A92" t="s">
        <v>195</v>
      </c>
      <c r="B92" t="s">
        <v>105</v>
      </c>
      <c r="C92" t="s">
        <v>42</v>
      </c>
      <c r="D92" t="s">
        <v>77</v>
      </c>
      <c r="E92" t="s">
        <v>27</v>
      </c>
      <c r="F92" s="1">
        <v>46158.541666666657</v>
      </c>
      <c r="H92" t="s">
        <v>28</v>
      </c>
      <c r="I92" t="s">
        <v>21</v>
      </c>
      <c r="J92" t="s">
        <v>30</v>
      </c>
      <c r="K92">
        <v>6</v>
      </c>
      <c r="L92">
        <v>24</v>
      </c>
      <c r="N92" t="s">
        <v>38</v>
      </c>
      <c r="O92" t="s">
        <v>39</v>
      </c>
    </row>
    <row r="93" spans="1:15" x14ac:dyDescent="0.35">
      <c r="A93" t="s">
        <v>196</v>
      </c>
      <c r="B93" t="s">
        <v>103</v>
      </c>
      <c r="C93" t="s">
        <v>42</v>
      </c>
      <c r="D93" t="s">
        <v>59</v>
      </c>
      <c r="E93" t="s">
        <v>27</v>
      </c>
      <c r="F93" s="1">
        <v>46150.75</v>
      </c>
      <c r="G93" s="1">
        <v>46152</v>
      </c>
      <c r="H93" t="s">
        <v>20</v>
      </c>
      <c r="I93" t="s">
        <v>51</v>
      </c>
      <c r="J93" t="s">
        <v>64</v>
      </c>
      <c r="K93">
        <v>30</v>
      </c>
      <c r="L93">
        <v>24</v>
      </c>
      <c r="M93">
        <v>3</v>
      </c>
      <c r="N93" t="s">
        <v>38</v>
      </c>
    </row>
    <row r="94" spans="1:15" x14ac:dyDescent="0.35">
      <c r="A94" t="s">
        <v>197</v>
      </c>
      <c r="B94" t="s">
        <v>94</v>
      </c>
      <c r="C94" t="s">
        <v>42</v>
      </c>
      <c r="D94" t="s">
        <v>34</v>
      </c>
      <c r="E94" t="s">
        <v>46</v>
      </c>
      <c r="F94" s="1">
        <v>46063.083333333343</v>
      </c>
      <c r="H94" t="s">
        <v>63</v>
      </c>
      <c r="I94" t="s">
        <v>37</v>
      </c>
      <c r="J94" t="s">
        <v>52</v>
      </c>
      <c r="K94">
        <v>12</v>
      </c>
      <c r="L94">
        <v>8</v>
      </c>
      <c r="N94" t="s">
        <v>23</v>
      </c>
      <c r="O94" t="s">
        <v>44</v>
      </c>
    </row>
    <row r="95" spans="1:15" x14ac:dyDescent="0.35">
      <c r="A95" t="s">
        <v>198</v>
      </c>
      <c r="B95" t="s">
        <v>140</v>
      </c>
      <c r="C95" t="s">
        <v>71</v>
      </c>
      <c r="D95" t="s">
        <v>77</v>
      </c>
      <c r="E95" t="s">
        <v>50</v>
      </c>
      <c r="F95" s="1">
        <v>46146.125</v>
      </c>
      <c r="H95" t="s">
        <v>20</v>
      </c>
      <c r="I95" t="s">
        <v>67</v>
      </c>
      <c r="J95" t="s">
        <v>52</v>
      </c>
      <c r="K95">
        <v>12</v>
      </c>
      <c r="L95">
        <v>24</v>
      </c>
      <c r="N95" t="s">
        <v>23</v>
      </c>
      <c r="O95" t="s">
        <v>24</v>
      </c>
    </row>
    <row r="96" spans="1:15" x14ac:dyDescent="0.35">
      <c r="A96" t="s">
        <v>199</v>
      </c>
      <c r="B96" t="s">
        <v>200</v>
      </c>
      <c r="C96" t="s">
        <v>56</v>
      </c>
      <c r="D96" t="s">
        <v>74</v>
      </c>
      <c r="E96" t="s">
        <v>19</v>
      </c>
      <c r="F96" s="1">
        <v>46025.75</v>
      </c>
      <c r="G96" s="1">
        <v>46026.083333333343</v>
      </c>
      <c r="H96" t="s">
        <v>60</v>
      </c>
      <c r="I96" t="s">
        <v>68</v>
      </c>
      <c r="J96" t="s">
        <v>64</v>
      </c>
      <c r="K96">
        <v>8</v>
      </c>
      <c r="L96">
        <v>8</v>
      </c>
      <c r="M96">
        <v>5</v>
      </c>
      <c r="N96" t="s">
        <v>23</v>
      </c>
      <c r="O96" t="s">
        <v>53</v>
      </c>
    </row>
    <row r="97" spans="1:15" x14ac:dyDescent="0.35">
      <c r="A97" t="s">
        <v>201</v>
      </c>
      <c r="B97" t="s">
        <v>129</v>
      </c>
      <c r="C97" t="s">
        <v>56</v>
      </c>
      <c r="D97" t="s">
        <v>77</v>
      </c>
      <c r="E97" t="s">
        <v>46</v>
      </c>
      <c r="F97" s="1">
        <v>46087.166666666657</v>
      </c>
      <c r="G97" s="1">
        <v>46088.416666666657</v>
      </c>
      <c r="H97" t="s">
        <v>60</v>
      </c>
      <c r="I97" t="s">
        <v>21</v>
      </c>
      <c r="J97" t="s">
        <v>22</v>
      </c>
      <c r="K97">
        <v>30</v>
      </c>
      <c r="L97">
        <v>8</v>
      </c>
      <c r="M97">
        <v>1</v>
      </c>
      <c r="N97" t="s">
        <v>23</v>
      </c>
      <c r="O97" t="s">
        <v>53</v>
      </c>
    </row>
    <row r="98" spans="1:15" x14ac:dyDescent="0.35">
      <c r="A98" t="s">
        <v>202</v>
      </c>
      <c r="B98" t="s">
        <v>191</v>
      </c>
      <c r="C98" t="s">
        <v>49</v>
      </c>
      <c r="D98" t="s">
        <v>18</v>
      </c>
      <c r="E98" t="s">
        <v>19</v>
      </c>
      <c r="F98" s="1">
        <v>46106.541666666657</v>
      </c>
      <c r="H98" t="s">
        <v>20</v>
      </c>
      <c r="I98" t="s">
        <v>51</v>
      </c>
      <c r="J98" t="s">
        <v>30</v>
      </c>
      <c r="K98">
        <v>18</v>
      </c>
      <c r="L98">
        <v>24</v>
      </c>
      <c r="N98" t="s">
        <v>23</v>
      </c>
      <c r="O98" t="s">
        <v>24</v>
      </c>
    </row>
    <row r="99" spans="1:15" x14ac:dyDescent="0.35">
      <c r="A99" t="s">
        <v>203</v>
      </c>
      <c r="B99" t="s">
        <v>204</v>
      </c>
      <c r="C99" t="s">
        <v>49</v>
      </c>
      <c r="D99" t="s">
        <v>34</v>
      </c>
      <c r="E99" t="s">
        <v>50</v>
      </c>
      <c r="F99" s="1">
        <v>46098.416666666657</v>
      </c>
      <c r="G99" s="1">
        <v>46098.75</v>
      </c>
      <c r="H99" t="s">
        <v>60</v>
      </c>
      <c r="I99" t="s">
        <v>67</v>
      </c>
      <c r="J99" t="s">
        <v>22</v>
      </c>
      <c r="K99">
        <v>8</v>
      </c>
      <c r="L99">
        <v>8</v>
      </c>
      <c r="N99" t="s">
        <v>23</v>
      </c>
      <c r="O99" t="s">
        <v>39</v>
      </c>
    </row>
    <row r="100" spans="1:15" x14ac:dyDescent="0.35">
      <c r="A100" t="s">
        <v>205</v>
      </c>
      <c r="B100" t="s">
        <v>140</v>
      </c>
      <c r="C100" t="s">
        <v>33</v>
      </c>
      <c r="D100" t="s">
        <v>34</v>
      </c>
      <c r="E100" t="s">
        <v>35</v>
      </c>
      <c r="F100" s="1">
        <v>46124</v>
      </c>
      <c r="G100" s="1">
        <v>46124.75</v>
      </c>
      <c r="H100" t="s">
        <v>36</v>
      </c>
      <c r="I100" t="s">
        <v>68</v>
      </c>
      <c r="J100" t="s">
        <v>22</v>
      </c>
      <c r="K100">
        <v>18</v>
      </c>
      <c r="L100">
        <v>48</v>
      </c>
      <c r="N100" t="s">
        <v>23</v>
      </c>
      <c r="O100" t="s">
        <v>44</v>
      </c>
    </row>
    <row r="101" spans="1:15" x14ac:dyDescent="0.35">
      <c r="A101" t="s">
        <v>206</v>
      </c>
      <c r="B101" t="s">
        <v>99</v>
      </c>
      <c r="C101" t="s">
        <v>42</v>
      </c>
      <c r="D101" t="s">
        <v>34</v>
      </c>
      <c r="E101" t="s">
        <v>35</v>
      </c>
      <c r="F101" s="1">
        <v>46195.291666666657</v>
      </c>
      <c r="H101" t="s">
        <v>63</v>
      </c>
      <c r="I101" t="s">
        <v>29</v>
      </c>
      <c r="J101" t="s">
        <v>52</v>
      </c>
      <c r="K101">
        <v>8</v>
      </c>
      <c r="L101">
        <v>8</v>
      </c>
      <c r="N101" t="s">
        <v>38</v>
      </c>
      <c r="O101" t="s">
        <v>24</v>
      </c>
    </row>
    <row r="102" spans="1:15" x14ac:dyDescent="0.35">
      <c r="A102" t="s">
        <v>207</v>
      </c>
      <c r="B102" t="s">
        <v>16</v>
      </c>
      <c r="C102" t="s">
        <v>42</v>
      </c>
      <c r="D102" t="s">
        <v>34</v>
      </c>
      <c r="E102" t="s">
        <v>50</v>
      </c>
      <c r="F102" s="1">
        <v>46052.166666666657</v>
      </c>
      <c r="H102" t="s">
        <v>60</v>
      </c>
      <c r="I102" t="s">
        <v>29</v>
      </c>
      <c r="J102" t="s">
        <v>52</v>
      </c>
      <c r="K102">
        <v>4</v>
      </c>
      <c r="L102">
        <v>8</v>
      </c>
      <c r="N102" t="s">
        <v>38</v>
      </c>
      <c r="O102" t="s">
        <v>44</v>
      </c>
    </row>
    <row r="103" spans="1:15" x14ac:dyDescent="0.35">
      <c r="A103" t="s">
        <v>208</v>
      </c>
      <c r="B103" t="s">
        <v>79</v>
      </c>
      <c r="C103" t="s">
        <v>33</v>
      </c>
      <c r="D103" t="s">
        <v>77</v>
      </c>
      <c r="E103" t="s">
        <v>50</v>
      </c>
      <c r="F103" s="1">
        <v>46139.458333333343</v>
      </c>
      <c r="H103" t="s">
        <v>28</v>
      </c>
      <c r="I103" t="s">
        <v>67</v>
      </c>
      <c r="J103" t="s">
        <v>30</v>
      </c>
      <c r="K103">
        <v>4</v>
      </c>
      <c r="L103">
        <v>24</v>
      </c>
      <c r="N103" t="s">
        <v>23</v>
      </c>
      <c r="O103" t="s">
        <v>44</v>
      </c>
    </row>
    <row r="104" spans="1:15" x14ac:dyDescent="0.35">
      <c r="A104" t="s">
        <v>209</v>
      </c>
      <c r="B104" t="s">
        <v>103</v>
      </c>
      <c r="C104" t="s">
        <v>42</v>
      </c>
      <c r="D104" t="s">
        <v>34</v>
      </c>
      <c r="E104" t="s">
        <v>35</v>
      </c>
      <c r="F104" s="1">
        <v>46199.458333333343</v>
      </c>
      <c r="G104" s="1">
        <v>46200.208333333343</v>
      </c>
      <c r="H104" t="s">
        <v>20</v>
      </c>
      <c r="I104" t="s">
        <v>67</v>
      </c>
      <c r="J104" t="s">
        <v>64</v>
      </c>
      <c r="K104">
        <v>18</v>
      </c>
      <c r="L104">
        <v>24</v>
      </c>
      <c r="M104">
        <v>1</v>
      </c>
      <c r="N104" t="s">
        <v>23</v>
      </c>
      <c r="O104" t="s">
        <v>39</v>
      </c>
    </row>
    <row r="105" spans="1:15" x14ac:dyDescent="0.35">
      <c r="A105" t="s">
        <v>210</v>
      </c>
      <c r="B105" t="s">
        <v>86</v>
      </c>
      <c r="C105" t="s">
        <v>56</v>
      </c>
      <c r="D105" t="s">
        <v>34</v>
      </c>
      <c r="E105" t="s">
        <v>35</v>
      </c>
      <c r="F105" s="1">
        <v>46124.333333333343</v>
      </c>
      <c r="G105" s="1">
        <v>46124.666666666657</v>
      </c>
      <c r="H105" t="s">
        <v>20</v>
      </c>
      <c r="I105" t="s">
        <v>29</v>
      </c>
      <c r="J105" t="s">
        <v>64</v>
      </c>
      <c r="K105">
        <v>8</v>
      </c>
      <c r="L105">
        <v>24</v>
      </c>
      <c r="N105" t="s">
        <v>38</v>
      </c>
      <c r="O105" t="s">
        <v>47</v>
      </c>
    </row>
    <row r="106" spans="1:15" x14ac:dyDescent="0.35">
      <c r="A106" t="s">
        <v>211</v>
      </c>
      <c r="B106" t="s">
        <v>92</v>
      </c>
      <c r="C106" t="s">
        <v>71</v>
      </c>
      <c r="D106" t="s">
        <v>77</v>
      </c>
      <c r="E106" t="s">
        <v>27</v>
      </c>
      <c r="F106" s="1">
        <v>46167.25</v>
      </c>
      <c r="H106" t="s">
        <v>60</v>
      </c>
      <c r="I106" t="s">
        <v>43</v>
      </c>
      <c r="J106" t="s">
        <v>30</v>
      </c>
      <c r="K106">
        <v>8</v>
      </c>
      <c r="L106">
        <v>8</v>
      </c>
      <c r="N106" t="s">
        <v>23</v>
      </c>
      <c r="O106" t="s">
        <v>24</v>
      </c>
    </row>
    <row r="107" spans="1:15" x14ac:dyDescent="0.35">
      <c r="A107" t="s">
        <v>212</v>
      </c>
      <c r="C107" t="s">
        <v>49</v>
      </c>
      <c r="D107" t="s">
        <v>59</v>
      </c>
      <c r="E107" t="s">
        <v>35</v>
      </c>
      <c r="F107" s="1">
        <v>46093.166666666657</v>
      </c>
      <c r="H107" t="s">
        <v>20</v>
      </c>
      <c r="I107" t="s">
        <v>68</v>
      </c>
      <c r="J107" t="s">
        <v>52</v>
      </c>
      <c r="K107">
        <v>4</v>
      </c>
      <c r="L107">
        <v>24</v>
      </c>
      <c r="N107" t="s">
        <v>38</v>
      </c>
      <c r="O107" t="s">
        <v>39</v>
      </c>
    </row>
    <row r="108" spans="1:15" x14ac:dyDescent="0.35">
      <c r="A108" t="s">
        <v>213</v>
      </c>
      <c r="B108" t="s">
        <v>214</v>
      </c>
      <c r="C108" t="s">
        <v>17</v>
      </c>
      <c r="D108" t="s">
        <v>34</v>
      </c>
      <c r="E108" t="s">
        <v>27</v>
      </c>
      <c r="F108" s="1">
        <v>46173.416666666657</v>
      </c>
      <c r="H108" t="s">
        <v>60</v>
      </c>
      <c r="I108" t="s">
        <v>51</v>
      </c>
      <c r="J108" t="s">
        <v>52</v>
      </c>
      <c r="K108">
        <v>6</v>
      </c>
      <c r="L108">
        <v>8</v>
      </c>
      <c r="N108" t="s">
        <v>23</v>
      </c>
      <c r="O108" t="s">
        <v>47</v>
      </c>
    </row>
    <row r="109" spans="1:15" x14ac:dyDescent="0.35">
      <c r="A109" t="s">
        <v>215</v>
      </c>
      <c r="B109" t="s">
        <v>70</v>
      </c>
      <c r="C109" t="s">
        <v>17</v>
      </c>
      <c r="D109" t="s">
        <v>18</v>
      </c>
      <c r="E109" t="s">
        <v>50</v>
      </c>
      <c r="F109" s="1">
        <v>46137.458333333343</v>
      </c>
      <c r="G109" s="1">
        <v>46139.458333333343</v>
      </c>
      <c r="H109" t="s">
        <v>28</v>
      </c>
      <c r="I109" t="s">
        <v>68</v>
      </c>
      <c r="J109" t="s">
        <v>22</v>
      </c>
      <c r="K109">
        <v>48</v>
      </c>
      <c r="L109">
        <v>24</v>
      </c>
      <c r="M109">
        <v>2</v>
      </c>
      <c r="N109" t="s">
        <v>38</v>
      </c>
      <c r="O109" t="s">
        <v>44</v>
      </c>
    </row>
    <row r="110" spans="1:15" x14ac:dyDescent="0.35">
      <c r="A110" t="s">
        <v>216</v>
      </c>
      <c r="B110" t="s">
        <v>191</v>
      </c>
      <c r="C110" t="s">
        <v>56</v>
      </c>
      <c r="D110" t="s">
        <v>59</v>
      </c>
      <c r="E110" t="s">
        <v>19</v>
      </c>
      <c r="F110" s="1">
        <v>46140.833333333343</v>
      </c>
      <c r="G110" s="1">
        <v>46141.833333333343</v>
      </c>
      <c r="H110" t="s">
        <v>60</v>
      </c>
      <c r="I110" t="s">
        <v>29</v>
      </c>
      <c r="J110" t="s">
        <v>64</v>
      </c>
      <c r="K110">
        <v>24</v>
      </c>
      <c r="L110">
        <v>8</v>
      </c>
      <c r="N110" t="s">
        <v>38</v>
      </c>
      <c r="O110" t="s">
        <v>44</v>
      </c>
    </row>
    <row r="111" spans="1:15" x14ac:dyDescent="0.35">
      <c r="A111" t="s">
        <v>217</v>
      </c>
      <c r="B111" t="s">
        <v>142</v>
      </c>
      <c r="C111" t="s">
        <v>56</v>
      </c>
      <c r="D111" t="s">
        <v>74</v>
      </c>
      <c r="E111" t="s">
        <v>35</v>
      </c>
      <c r="F111" s="1">
        <v>46043.416666666657</v>
      </c>
      <c r="G111" s="1">
        <v>46043.916666666657</v>
      </c>
      <c r="H111" t="s">
        <v>28</v>
      </c>
      <c r="I111" t="s">
        <v>51</v>
      </c>
      <c r="J111" t="s">
        <v>22</v>
      </c>
      <c r="K111">
        <v>12</v>
      </c>
      <c r="L111">
        <v>24</v>
      </c>
      <c r="M111">
        <v>5</v>
      </c>
      <c r="N111" t="s">
        <v>23</v>
      </c>
      <c r="O111" t="s">
        <v>39</v>
      </c>
    </row>
    <row r="112" spans="1:15" x14ac:dyDescent="0.35">
      <c r="A112" t="s">
        <v>218</v>
      </c>
      <c r="B112" t="s">
        <v>116</v>
      </c>
      <c r="C112" t="s">
        <v>33</v>
      </c>
      <c r="D112" t="s">
        <v>59</v>
      </c>
      <c r="E112" t="s">
        <v>19</v>
      </c>
      <c r="F112" s="1">
        <v>46139.666666666657</v>
      </c>
      <c r="G112" s="1">
        <v>46141.666666666657</v>
      </c>
      <c r="H112" t="s">
        <v>28</v>
      </c>
      <c r="I112" t="s">
        <v>67</v>
      </c>
      <c r="J112" t="s">
        <v>22</v>
      </c>
      <c r="K112">
        <v>48</v>
      </c>
      <c r="L112">
        <v>24</v>
      </c>
      <c r="N112" t="s">
        <v>23</v>
      </c>
      <c r="O112" t="s">
        <v>47</v>
      </c>
    </row>
    <row r="113" spans="1:15" x14ac:dyDescent="0.35">
      <c r="A113" t="s">
        <v>219</v>
      </c>
      <c r="B113" t="s">
        <v>73</v>
      </c>
      <c r="C113" t="s">
        <v>42</v>
      </c>
      <c r="D113" t="s">
        <v>77</v>
      </c>
      <c r="E113" t="s">
        <v>50</v>
      </c>
      <c r="F113" s="1">
        <v>46109.583333333343</v>
      </c>
      <c r="G113" s="1">
        <v>46110.583333333343</v>
      </c>
      <c r="H113" t="s">
        <v>63</v>
      </c>
      <c r="I113" t="s">
        <v>67</v>
      </c>
      <c r="J113" t="s">
        <v>22</v>
      </c>
      <c r="K113">
        <v>24</v>
      </c>
      <c r="L113">
        <v>8</v>
      </c>
      <c r="M113">
        <v>3</v>
      </c>
      <c r="N113" t="s">
        <v>23</v>
      </c>
      <c r="O113" t="s">
        <v>53</v>
      </c>
    </row>
    <row r="114" spans="1:15" x14ac:dyDescent="0.35">
      <c r="A114" t="s">
        <v>220</v>
      </c>
      <c r="B114" t="s">
        <v>105</v>
      </c>
      <c r="C114" t="s">
        <v>49</v>
      </c>
      <c r="D114" t="s">
        <v>74</v>
      </c>
      <c r="E114" t="s">
        <v>35</v>
      </c>
      <c r="F114" s="1">
        <v>46046.083333333343</v>
      </c>
      <c r="G114" s="1">
        <v>46046.333333333343</v>
      </c>
      <c r="H114" t="s">
        <v>60</v>
      </c>
      <c r="I114" t="s">
        <v>67</v>
      </c>
      <c r="J114" t="s">
        <v>22</v>
      </c>
      <c r="K114">
        <v>6</v>
      </c>
      <c r="L114">
        <v>8</v>
      </c>
      <c r="M114">
        <v>5</v>
      </c>
      <c r="N114" t="s">
        <v>38</v>
      </c>
      <c r="O114" t="s">
        <v>53</v>
      </c>
    </row>
    <row r="115" spans="1:15" x14ac:dyDescent="0.35">
      <c r="A115" t="s">
        <v>221</v>
      </c>
      <c r="B115" t="s">
        <v>99</v>
      </c>
      <c r="C115" t="s">
        <v>33</v>
      </c>
      <c r="D115" t="s">
        <v>59</v>
      </c>
      <c r="E115" t="s">
        <v>19</v>
      </c>
      <c r="F115" s="1">
        <v>46194.125</v>
      </c>
      <c r="G115" s="1">
        <v>46194.625</v>
      </c>
      <c r="H115" t="s">
        <v>63</v>
      </c>
      <c r="I115" t="s">
        <v>37</v>
      </c>
      <c r="J115" t="s">
        <v>64</v>
      </c>
      <c r="K115">
        <v>12</v>
      </c>
      <c r="L115">
        <v>8</v>
      </c>
      <c r="M115">
        <v>5</v>
      </c>
      <c r="N115" t="s">
        <v>23</v>
      </c>
      <c r="O115" t="s">
        <v>47</v>
      </c>
    </row>
    <row r="116" spans="1:15" x14ac:dyDescent="0.35">
      <c r="A116" t="s">
        <v>222</v>
      </c>
      <c r="B116" t="s">
        <v>88</v>
      </c>
      <c r="C116" t="s">
        <v>17</v>
      </c>
      <c r="D116" t="s">
        <v>59</v>
      </c>
      <c r="E116" t="s">
        <v>46</v>
      </c>
      <c r="F116" s="1">
        <v>46077.166666666657</v>
      </c>
      <c r="G116" s="1">
        <v>46079.166666666657</v>
      </c>
      <c r="H116" t="s">
        <v>63</v>
      </c>
      <c r="I116" t="s">
        <v>51</v>
      </c>
      <c r="J116" t="s">
        <v>22</v>
      </c>
      <c r="K116">
        <v>48</v>
      </c>
      <c r="L116">
        <v>8</v>
      </c>
      <c r="M116">
        <v>3</v>
      </c>
      <c r="N116" t="s">
        <v>38</v>
      </c>
      <c r="O116" t="s">
        <v>53</v>
      </c>
    </row>
    <row r="117" spans="1:15" x14ac:dyDescent="0.35">
      <c r="A117" t="s">
        <v>223</v>
      </c>
      <c r="B117" t="s">
        <v>176</v>
      </c>
      <c r="C117" t="s">
        <v>71</v>
      </c>
      <c r="D117" t="s">
        <v>59</v>
      </c>
      <c r="E117" t="s">
        <v>27</v>
      </c>
      <c r="F117" s="1">
        <v>46132.708333333343</v>
      </c>
      <c r="G117" s="1">
        <v>46133.208333333343</v>
      </c>
      <c r="H117" t="s">
        <v>28</v>
      </c>
      <c r="I117" t="s">
        <v>68</v>
      </c>
      <c r="J117" t="s">
        <v>22</v>
      </c>
      <c r="K117">
        <v>12</v>
      </c>
      <c r="L117">
        <v>24</v>
      </c>
      <c r="M117">
        <v>1</v>
      </c>
      <c r="N117" t="s">
        <v>23</v>
      </c>
      <c r="O117" t="s">
        <v>24</v>
      </c>
    </row>
    <row r="118" spans="1:15" x14ac:dyDescent="0.35">
      <c r="A118" t="s">
        <v>224</v>
      </c>
      <c r="B118" t="s">
        <v>58</v>
      </c>
      <c r="C118" t="s">
        <v>56</v>
      </c>
      <c r="D118" t="s">
        <v>34</v>
      </c>
      <c r="E118" t="s">
        <v>19</v>
      </c>
      <c r="F118" s="1">
        <v>46112</v>
      </c>
      <c r="H118" t="s">
        <v>20</v>
      </c>
      <c r="I118" t="s">
        <v>43</v>
      </c>
      <c r="J118" t="s">
        <v>30</v>
      </c>
      <c r="K118">
        <v>24</v>
      </c>
      <c r="L118">
        <v>24</v>
      </c>
      <c r="N118" t="s">
        <v>38</v>
      </c>
      <c r="O118" t="s">
        <v>24</v>
      </c>
    </row>
    <row r="119" spans="1:15" x14ac:dyDescent="0.35">
      <c r="A119" t="s">
        <v>225</v>
      </c>
      <c r="B119" t="s">
        <v>76</v>
      </c>
      <c r="C119" t="s">
        <v>56</v>
      </c>
      <c r="D119" t="s">
        <v>18</v>
      </c>
      <c r="E119" t="s">
        <v>35</v>
      </c>
      <c r="F119" s="1">
        <v>46158.25</v>
      </c>
      <c r="G119" s="1">
        <v>46158.5</v>
      </c>
      <c r="H119" t="s">
        <v>63</v>
      </c>
      <c r="I119" t="s">
        <v>67</v>
      </c>
      <c r="J119" t="s">
        <v>64</v>
      </c>
      <c r="K119">
        <v>6</v>
      </c>
      <c r="L119">
        <v>8</v>
      </c>
      <c r="M119">
        <v>3</v>
      </c>
      <c r="N119" t="s">
        <v>23</v>
      </c>
      <c r="O119" t="s">
        <v>53</v>
      </c>
    </row>
    <row r="120" spans="1:15" x14ac:dyDescent="0.35">
      <c r="A120" t="s">
        <v>226</v>
      </c>
      <c r="B120" t="s">
        <v>191</v>
      </c>
      <c r="C120" t="s">
        <v>71</v>
      </c>
      <c r="D120" t="s">
        <v>59</v>
      </c>
      <c r="E120" t="s">
        <v>46</v>
      </c>
      <c r="F120" s="1">
        <v>46044.041666666657</v>
      </c>
      <c r="G120" s="1">
        <v>46044.541666666657</v>
      </c>
      <c r="H120" t="s">
        <v>20</v>
      </c>
      <c r="I120" t="s">
        <v>51</v>
      </c>
      <c r="J120" t="s">
        <v>227</v>
      </c>
      <c r="K120">
        <v>12</v>
      </c>
      <c r="L120">
        <v>24</v>
      </c>
      <c r="M120">
        <v>4</v>
      </c>
      <c r="N120" t="s">
        <v>23</v>
      </c>
      <c r="O120" t="s">
        <v>47</v>
      </c>
    </row>
    <row r="121" spans="1:15" x14ac:dyDescent="0.35">
      <c r="A121" t="s">
        <v>228</v>
      </c>
      <c r="B121" t="s">
        <v>142</v>
      </c>
      <c r="C121" t="s">
        <v>33</v>
      </c>
      <c r="D121" t="s">
        <v>74</v>
      </c>
      <c r="E121" t="s">
        <v>50</v>
      </c>
      <c r="F121" s="1">
        <v>46092.25</v>
      </c>
      <c r="H121" t="s">
        <v>28</v>
      </c>
      <c r="I121" t="s">
        <v>29</v>
      </c>
      <c r="J121" t="s">
        <v>52</v>
      </c>
      <c r="K121">
        <v>4</v>
      </c>
      <c r="L121">
        <v>24</v>
      </c>
      <c r="N121" t="s">
        <v>23</v>
      </c>
      <c r="O121" t="s">
        <v>44</v>
      </c>
    </row>
    <row r="122" spans="1:15" x14ac:dyDescent="0.35">
      <c r="A122" t="s">
        <v>229</v>
      </c>
      <c r="B122" t="s">
        <v>127</v>
      </c>
      <c r="C122" t="s">
        <v>56</v>
      </c>
      <c r="D122" t="s">
        <v>59</v>
      </c>
      <c r="E122" t="s">
        <v>50</v>
      </c>
      <c r="F122" s="1">
        <v>46157.375</v>
      </c>
      <c r="G122" s="1">
        <v>46157.458333333343</v>
      </c>
      <c r="H122" t="s">
        <v>60</v>
      </c>
      <c r="I122" t="s">
        <v>51</v>
      </c>
      <c r="J122" t="s">
        <v>64</v>
      </c>
      <c r="K122">
        <v>2</v>
      </c>
      <c r="L122">
        <v>8</v>
      </c>
      <c r="M122">
        <v>1</v>
      </c>
      <c r="N122" t="s">
        <v>23</v>
      </c>
      <c r="O122" t="s">
        <v>24</v>
      </c>
    </row>
    <row r="123" spans="1:15" x14ac:dyDescent="0.35">
      <c r="A123" t="s">
        <v>230</v>
      </c>
      <c r="B123" t="s">
        <v>168</v>
      </c>
      <c r="C123" t="s">
        <v>49</v>
      </c>
      <c r="D123" t="s">
        <v>77</v>
      </c>
      <c r="E123" t="s">
        <v>19</v>
      </c>
      <c r="F123" s="1">
        <v>46097.416666666657</v>
      </c>
      <c r="G123" s="1">
        <v>46097.666666666657</v>
      </c>
      <c r="H123" t="s">
        <v>60</v>
      </c>
      <c r="I123" t="s">
        <v>29</v>
      </c>
      <c r="J123" t="s">
        <v>64</v>
      </c>
      <c r="K123">
        <v>6</v>
      </c>
      <c r="L123">
        <v>8</v>
      </c>
      <c r="M123">
        <v>2</v>
      </c>
      <c r="N123" t="s">
        <v>23</v>
      </c>
      <c r="O123" t="s">
        <v>44</v>
      </c>
    </row>
    <row r="124" spans="1:15" x14ac:dyDescent="0.35">
      <c r="A124" t="s">
        <v>231</v>
      </c>
      <c r="B124" t="s">
        <v>86</v>
      </c>
      <c r="C124" t="s">
        <v>56</v>
      </c>
      <c r="D124" t="s">
        <v>77</v>
      </c>
      <c r="E124" t="s">
        <v>46</v>
      </c>
      <c r="F124" s="1">
        <v>46166.458333333343</v>
      </c>
      <c r="G124" s="1">
        <v>46166.541666666657</v>
      </c>
      <c r="H124" t="s">
        <v>60</v>
      </c>
      <c r="I124" t="s">
        <v>67</v>
      </c>
      <c r="J124" t="s">
        <v>22</v>
      </c>
      <c r="K124">
        <v>2</v>
      </c>
      <c r="L124">
        <v>8</v>
      </c>
      <c r="M124">
        <v>4</v>
      </c>
      <c r="N124" t="s">
        <v>38</v>
      </c>
      <c r="O124" t="s">
        <v>44</v>
      </c>
    </row>
    <row r="125" spans="1:15" x14ac:dyDescent="0.35">
      <c r="A125" t="s">
        <v>232</v>
      </c>
      <c r="B125" t="s">
        <v>163</v>
      </c>
      <c r="C125" t="s">
        <v>71</v>
      </c>
      <c r="D125" t="s">
        <v>59</v>
      </c>
      <c r="E125" t="s">
        <v>50</v>
      </c>
      <c r="F125" s="1">
        <v>46169.5</v>
      </c>
      <c r="G125" s="1">
        <v>46169.583333333343</v>
      </c>
      <c r="H125" t="s">
        <v>63</v>
      </c>
      <c r="I125" t="s">
        <v>37</v>
      </c>
      <c r="J125" t="s">
        <v>22</v>
      </c>
      <c r="K125">
        <v>2</v>
      </c>
      <c r="L125">
        <v>8</v>
      </c>
      <c r="M125">
        <v>3</v>
      </c>
      <c r="N125" t="s">
        <v>23</v>
      </c>
      <c r="O125" t="s">
        <v>44</v>
      </c>
    </row>
    <row r="126" spans="1:15" x14ac:dyDescent="0.35">
      <c r="A126" t="s">
        <v>233</v>
      </c>
      <c r="B126" t="s">
        <v>114</v>
      </c>
      <c r="C126" t="s">
        <v>33</v>
      </c>
      <c r="D126" t="s">
        <v>74</v>
      </c>
      <c r="E126" t="s">
        <v>19</v>
      </c>
      <c r="F126" s="1">
        <v>46045.541666666657</v>
      </c>
      <c r="G126" s="1">
        <v>46046.541666666657</v>
      </c>
      <c r="H126" t="s">
        <v>60</v>
      </c>
      <c r="I126" t="s">
        <v>51</v>
      </c>
      <c r="J126" t="s">
        <v>64</v>
      </c>
      <c r="K126">
        <v>24</v>
      </c>
      <c r="L126">
        <v>8</v>
      </c>
      <c r="M126">
        <v>5</v>
      </c>
      <c r="N126" t="s">
        <v>38</v>
      </c>
      <c r="O126" t="s">
        <v>24</v>
      </c>
    </row>
    <row r="127" spans="1:15" x14ac:dyDescent="0.35">
      <c r="A127" t="s">
        <v>234</v>
      </c>
      <c r="B127" t="s">
        <v>118</v>
      </c>
      <c r="C127" t="s">
        <v>71</v>
      </c>
      <c r="D127" t="s">
        <v>34</v>
      </c>
      <c r="E127" t="s">
        <v>27</v>
      </c>
      <c r="F127" s="1">
        <v>46108.208333333343</v>
      </c>
      <c r="G127" s="1">
        <v>46110.208333333343</v>
      </c>
      <c r="H127" t="s">
        <v>60</v>
      </c>
      <c r="I127" t="s">
        <v>68</v>
      </c>
      <c r="J127" t="s">
        <v>22</v>
      </c>
      <c r="K127">
        <v>48</v>
      </c>
      <c r="L127">
        <v>8</v>
      </c>
      <c r="M127">
        <v>2</v>
      </c>
      <c r="N127" t="s">
        <v>23</v>
      </c>
      <c r="O127" t="s">
        <v>24</v>
      </c>
    </row>
    <row r="128" spans="1:15" x14ac:dyDescent="0.35">
      <c r="A128" t="s">
        <v>235</v>
      </c>
      <c r="B128" t="s">
        <v>88</v>
      </c>
      <c r="C128" t="s">
        <v>56</v>
      </c>
      <c r="D128" t="s">
        <v>77</v>
      </c>
      <c r="E128" t="s">
        <v>27</v>
      </c>
      <c r="F128" s="1">
        <v>46049.166666666657</v>
      </c>
      <c r="H128" t="s">
        <v>36</v>
      </c>
      <c r="I128" t="s">
        <v>51</v>
      </c>
      <c r="J128" t="s">
        <v>30</v>
      </c>
      <c r="K128">
        <v>6</v>
      </c>
      <c r="L128">
        <v>48</v>
      </c>
      <c r="N128" t="s">
        <v>38</v>
      </c>
      <c r="O128" t="s">
        <v>24</v>
      </c>
    </row>
    <row r="129" spans="1:15" x14ac:dyDescent="0.35">
      <c r="A129" t="s">
        <v>236</v>
      </c>
      <c r="B129" t="s">
        <v>120</v>
      </c>
      <c r="C129" t="s">
        <v>56</v>
      </c>
      <c r="D129" t="s">
        <v>74</v>
      </c>
      <c r="E129" t="s">
        <v>50</v>
      </c>
      <c r="F129" s="1">
        <v>46167.75</v>
      </c>
      <c r="H129" t="s">
        <v>63</v>
      </c>
      <c r="I129" t="s">
        <v>21</v>
      </c>
      <c r="J129" t="s">
        <v>52</v>
      </c>
      <c r="K129">
        <v>6</v>
      </c>
      <c r="L129">
        <v>8</v>
      </c>
      <c r="N129" t="s">
        <v>23</v>
      </c>
      <c r="O129" t="s">
        <v>53</v>
      </c>
    </row>
    <row r="130" spans="1:15" x14ac:dyDescent="0.35">
      <c r="A130" t="s">
        <v>237</v>
      </c>
      <c r="B130" t="s">
        <v>238</v>
      </c>
      <c r="C130" t="s">
        <v>42</v>
      </c>
      <c r="D130" t="s">
        <v>74</v>
      </c>
      <c r="E130" t="s">
        <v>19</v>
      </c>
      <c r="F130" s="1">
        <v>46093.75</v>
      </c>
      <c r="G130" s="1">
        <v>46095</v>
      </c>
      <c r="H130" t="s">
        <v>60</v>
      </c>
      <c r="I130" t="s">
        <v>37</v>
      </c>
      <c r="J130" t="s">
        <v>22</v>
      </c>
      <c r="K130">
        <v>30</v>
      </c>
      <c r="L130">
        <v>8</v>
      </c>
      <c r="M130">
        <v>4</v>
      </c>
      <c r="N130" t="s">
        <v>38</v>
      </c>
      <c r="O130" t="s">
        <v>53</v>
      </c>
    </row>
    <row r="131" spans="1:15" x14ac:dyDescent="0.35">
      <c r="A131" t="s">
        <v>239</v>
      </c>
      <c r="B131" t="s">
        <v>92</v>
      </c>
      <c r="C131" t="s">
        <v>71</v>
      </c>
      <c r="D131" t="s">
        <v>34</v>
      </c>
      <c r="E131" t="s">
        <v>35</v>
      </c>
      <c r="F131" s="1">
        <v>46188.083333333343</v>
      </c>
      <c r="H131" t="s">
        <v>28</v>
      </c>
      <c r="I131" t="s">
        <v>68</v>
      </c>
      <c r="J131" t="s">
        <v>64</v>
      </c>
      <c r="N131" t="s">
        <v>38</v>
      </c>
      <c r="O131" t="s">
        <v>44</v>
      </c>
    </row>
    <row r="132" spans="1:15" x14ac:dyDescent="0.35">
      <c r="A132" t="s">
        <v>240</v>
      </c>
      <c r="B132" t="s">
        <v>32</v>
      </c>
      <c r="C132" t="s">
        <v>33</v>
      </c>
      <c r="D132" t="s">
        <v>77</v>
      </c>
      <c r="E132" t="s">
        <v>19</v>
      </c>
      <c r="F132" s="1">
        <v>46177.625</v>
      </c>
      <c r="G132" s="1">
        <v>46177.791666666657</v>
      </c>
      <c r="H132" t="s">
        <v>28</v>
      </c>
      <c r="I132" t="s">
        <v>51</v>
      </c>
      <c r="J132" t="s">
        <v>22</v>
      </c>
      <c r="K132">
        <v>4</v>
      </c>
      <c r="L132">
        <v>24</v>
      </c>
      <c r="N132" t="s">
        <v>23</v>
      </c>
      <c r="O132" t="s">
        <v>44</v>
      </c>
    </row>
    <row r="133" spans="1:15" x14ac:dyDescent="0.35">
      <c r="A133" t="s">
        <v>241</v>
      </c>
      <c r="B133" t="s">
        <v>131</v>
      </c>
      <c r="C133" t="s">
        <v>17</v>
      </c>
      <c r="D133" t="s">
        <v>59</v>
      </c>
      <c r="E133" t="s">
        <v>27</v>
      </c>
      <c r="F133" s="1">
        <v>46033.291666666657</v>
      </c>
      <c r="H133" t="s">
        <v>63</v>
      </c>
      <c r="I133" t="s">
        <v>67</v>
      </c>
      <c r="J133" t="s">
        <v>30</v>
      </c>
      <c r="K133">
        <v>18</v>
      </c>
      <c r="L133">
        <v>8</v>
      </c>
      <c r="N133" t="s">
        <v>23</v>
      </c>
      <c r="O133" t="s">
        <v>53</v>
      </c>
    </row>
    <row r="134" spans="1:15" x14ac:dyDescent="0.35">
      <c r="A134" t="s">
        <v>242</v>
      </c>
      <c r="B134" t="s">
        <v>116</v>
      </c>
      <c r="C134" t="s">
        <v>42</v>
      </c>
      <c r="D134" t="s">
        <v>34</v>
      </c>
      <c r="E134" t="s">
        <v>46</v>
      </c>
      <c r="F134" s="1">
        <v>46036.833333333343</v>
      </c>
      <c r="H134" t="s">
        <v>36</v>
      </c>
      <c r="I134" t="s">
        <v>29</v>
      </c>
      <c r="J134" t="s">
        <v>52</v>
      </c>
      <c r="K134">
        <v>48</v>
      </c>
      <c r="L134">
        <v>48</v>
      </c>
      <c r="N134" t="s">
        <v>23</v>
      </c>
      <c r="O134" t="s">
        <v>47</v>
      </c>
    </row>
    <row r="135" spans="1:15" x14ac:dyDescent="0.35">
      <c r="A135" t="s">
        <v>243</v>
      </c>
      <c r="B135" t="s">
        <v>244</v>
      </c>
      <c r="C135" t="s">
        <v>71</v>
      </c>
      <c r="D135" t="s">
        <v>59</v>
      </c>
      <c r="E135" t="s">
        <v>27</v>
      </c>
      <c r="F135" s="1">
        <v>46108.083333333343</v>
      </c>
      <c r="H135" t="s">
        <v>28</v>
      </c>
      <c r="I135" t="s">
        <v>21</v>
      </c>
      <c r="J135" t="s">
        <v>30</v>
      </c>
      <c r="K135">
        <v>12</v>
      </c>
      <c r="L135">
        <v>24</v>
      </c>
      <c r="N135" t="s">
        <v>23</v>
      </c>
      <c r="O135" t="s">
        <v>53</v>
      </c>
    </row>
    <row r="136" spans="1:15" x14ac:dyDescent="0.35">
      <c r="A136" t="s">
        <v>245</v>
      </c>
      <c r="B136" t="s">
        <v>214</v>
      </c>
      <c r="C136" t="s">
        <v>33</v>
      </c>
      <c r="D136" t="s">
        <v>18</v>
      </c>
      <c r="E136" t="s">
        <v>19</v>
      </c>
      <c r="F136" s="1">
        <v>46166.5</v>
      </c>
      <c r="H136" t="s">
        <v>36</v>
      </c>
      <c r="I136" t="s">
        <v>43</v>
      </c>
      <c r="J136" t="s">
        <v>30</v>
      </c>
      <c r="K136">
        <v>4</v>
      </c>
      <c r="L136">
        <v>48</v>
      </c>
      <c r="N136" t="s">
        <v>23</v>
      </c>
      <c r="O136" t="s">
        <v>24</v>
      </c>
    </row>
    <row r="137" spans="1:15" x14ac:dyDescent="0.35">
      <c r="A137" t="s">
        <v>246</v>
      </c>
      <c r="B137" t="s">
        <v>97</v>
      </c>
      <c r="C137" t="s">
        <v>71</v>
      </c>
      <c r="D137" t="s">
        <v>18</v>
      </c>
      <c r="E137" t="s">
        <v>19</v>
      </c>
      <c r="F137" s="1">
        <v>46102.208333333343</v>
      </c>
      <c r="G137" s="1">
        <v>46102.541666666657</v>
      </c>
      <c r="H137" t="s">
        <v>20</v>
      </c>
      <c r="I137" t="s">
        <v>37</v>
      </c>
      <c r="J137" t="s">
        <v>64</v>
      </c>
      <c r="K137">
        <v>8</v>
      </c>
      <c r="L137">
        <v>24</v>
      </c>
      <c r="M137">
        <v>2</v>
      </c>
      <c r="N137" t="s">
        <v>23</v>
      </c>
      <c r="O137" t="s">
        <v>39</v>
      </c>
    </row>
    <row r="138" spans="1:15" x14ac:dyDescent="0.35">
      <c r="A138" t="s">
        <v>247</v>
      </c>
      <c r="B138" t="s">
        <v>238</v>
      </c>
      <c r="C138" t="s">
        <v>71</v>
      </c>
      <c r="D138" t="s">
        <v>18</v>
      </c>
      <c r="E138" t="s">
        <v>46</v>
      </c>
      <c r="F138" s="1">
        <v>46161.666666666657</v>
      </c>
      <c r="H138" t="s">
        <v>60</v>
      </c>
      <c r="I138" t="s">
        <v>21</v>
      </c>
      <c r="J138" t="s">
        <v>52</v>
      </c>
      <c r="K138">
        <v>6</v>
      </c>
      <c r="L138">
        <v>8</v>
      </c>
      <c r="N138" t="s">
        <v>23</v>
      </c>
      <c r="O138" t="s">
        <v>24</v>
      </c>
    </row>
    <row r="139" spans="1:15" x14ac:dyDescent="0.35">
      <c r="A139" t="s">
        <v>248</v>
      </c>
      <c r="B139" t="s">
        <v>76</v>
      </c>
      <c r="C139" t="s">
        <v>49</v>
      </c>
      <c r="D139" t="s">
        <v>77</v>
      </c>
      <c r="E139" t="s">
        <v>46</v>
      </c>
      <c r="F139" s="1">
        <v>46065.583333333343</v>
      </c>
      <c r="H139" t="s">
        <v>60</v>
      </c>
      <c r="I139" t="s">
        <v>67</v>
      </c>
      <c r="J139" t="s">
        <v>52</v>
      </c>
      <c r="K139">
        <v>30</v>
      </c>
      <c r="L139">
        <v>8</v>
      </c>
      <c r="N139" t="s">
        <v>23</v>
      </c>
      <c r="O139" t="s">
        <v>39</v>
      </c>
    </row>
    <row r="140" spans="1:15" x14ac:dyDescent="0.35">
      <c r="A140" t="s">
        <v>249</v>
      </c>
      <c r="B140" t="s">
        <v>176</v>
      </c>
      <c r="C140" t="s">
        <v>56</v>
      </c>
      <c r="D140" t="s">
        <v>74</v>
      </c>
      <c r="E140" t="s">
        <v>27</v>
      </c>
      <c r="F140" s="1">
        <v>46159.291666666657</v>
      </c>
      <c r="G140" s="1">
        <v>46160.041666666657</v>
      </c>
      <c r="H140" t="s">
        <v>36</v>
      </c>
      <c r="I140" t="s">
        <v>43</v>
      </c>
      <c r="J140" t="s">
        <v>64</v>
      </c>
      <c r="K140">
        <v>18</v>
      </c>
      <c r="L140">
        <v>48</v>
      </c>
      <c r="N140" t="s">
        <v>23</v>
      </c>
      <c r="O140" t="s">
        <v>39</v>
      </c>
    </row>
    <row r="141" spans="1:15" x14ac:dyDescent="0.35">
      <c r="A141" t="s">
        <v>250</v>
      </c>
      <c r="B141" t="s">
        <v>179</v>
      </c>
      <c r="C141" t="s">
        <v>71</v>
      </c>
      <c r="D141" t="s">
        <v>74</v>
      </c>
      <c r="E141" t="s">
        <v>46</v>
      </c>
      <c r="F141" s="1">
        <v>46158.541666666657</v>
      </c>
      <c r="H141" t="s">
        <v>20</v>
      </c>
      <c r="I141" t="s">
        <v>43</v>
      </c>
      <c r="J141" t="s">
        <v>30</v>
      </c>
      <c r="K141">
        <v>6</v>
      </c>
      <c r="L141">
        <v>24</v>
      </c>
      <c r="N141" t="s">
        <v>23</v>
      </c>
      <c r="O141" t="s">
        <v>24</v>
      </c>
    </row>
    <row r="142" spans="1:15" x14ac:dyDescent="0.35">
      <c r="B142" t="s">
        <v>92</v>
      </c>
      <c r="C142" t="s">
        <v>56</v>
      </c>
      <c r="D142" t="s">
        <v>74</v>
      </c>
      <c r="E142" t="s">
        <v>19</v>
      </c>
      <c r="F142" s="1">
        <v>46164.125</v>
      </c>
      <c r="G142" s="1">
        <v>46164.291666666657</v>
      </c>
      <c r="H142" t="s">
        <v>28</v>
      </c>
      <c r="I142" t="s">
        <v>43</v>
      </c>
      <c r="J142" t="s">
        <v>22</v>
      </c>
      <c r="K142">
        <v>4</v>
      </c>
      <c r="L142">
        <v>24</v>
      </c>
      <c r="N142" t="s">
        <v>23</v>
      </c>
      <c r="O142" t="s">
        <v>53</v>
      </c>
    </row>
    <row r="143" spans="1:15" x14ac:dyDescent="0.35">
      <c r="A143" t="s">
        <v>251</v>
      </c>
      <c r="B143" t="s">
        <v>58</v>
      </c>
      <c r="C143" t="s">
        <v>42</v>
      </c>
      <c r="D143" t="s">
        <v>59</v>
      </c>
      <c r="E143" t="s">
        <v>27</v>
      </c>
      <c r="F143" s="1">
        <v>46134.083333333343</v>
      </c>
      <c r="G143" s="1">
        <v>46134.166666666657</v>
      </c>
      <c r="H143" t="s">
        <v>20</v>
      </c>
      <c r="I143" t="s">
        <v>43</v>
      </c>
      <c r="J143" t="s">
        <v>64</v>
      </c>
      <c r="K143">
        <v>2</v>
      </c>
      <c r="L143">
        <v>24</v>
      </c>
      <c r="M143">
        <v>4</v>
      </c>
      <c r="N143" t="s">
        <v>38</v>
      </c>
      <c r="O143" t="s">
        <v>53</v>
      </c>
    </row>
    <row r="144" spans="1:15" x14ac:dyDescent="0.35">
      <c r="A144" t="s">
        <v>252</v>
      </c>
      <c r="B144" t="s">
        <v>118</v>
      </c>
      <c r="C144" t="s">
        <v>33</v>
      </c>
      <c r="D144" t="s">
        <v>34</v>
      </c>
      <c r="E144" t="s">
        <v>27</v>
      </c>
      <c r="F144" s="1">
        <v>46121.083333333343</v>
      </c>
      <c r="G144" s="1">
        <v>46121.25</v>
      </c>
      <c r="H144" t="s">
        <v>36</v>
      </c>
      <c r="I144" t="s">
        <v>51</v>
      </c>
      <c r="J144" t="s">
        <v>22</v>
      </c>
      <c r="K144">
        <v>4</v>
      </c>
      <c r="L144">
        <v>48</v>
      </c>
      <c r="N144" t="s">
        <v>23</v>
      </c>
      <c r="O144" t="s">
        <v>53</v>
      </c>
    </row>
    <row r="145" spans="1:15" x14ac:dyDescent="0.35">
      <c r="A145" t="s">
        <v>253</v>
      </c>
      <c r="B145" t="s">
        <v>254</v>
      </c>
      <c r="C145" t="s">
        <v>49</v>
      </c>
      <c r="D145" t="s">
        <v>77</v>
      </c>
      <c r="E145" t="s">
        <v>35</v>
      </c>
      <c r="F145" s="1">
        <v>46096.625</v>
      </c>
      <c r="H145" t="s">
        <v>20</v>
      </c>
      <c r="I145" t="s">
        <v>43</v>
      </c>
      <c r="J145" t="s">
        <v>64</v>
      </c>
      <c r="L145">
        <v>24</v>
      </c>
      <c r="N145" t="s">
        <v>38</v>
      </c>
      <c r="O145" t="s">
        <v>44</v>
      </c>
    </row>
    <row r="146" spans="1:15" x14ac:dyDescent="0.35">
      <c r="A146" t="s">
        <v>255</v>
      </c>
      <c r="B146" t="s">
        <v>94</v>
      </c>
      <c r="C146" t="s">
        <v>17</v>
      </c>
      <c r="D146" t="s">
        <v>18</v>
      </c>
      <c r="E146" t="s">
        <v>19</v>
      </c>
      <c r="F146" s="1">
        <v>46078.166666666657</v>
      </c>
      <c r="G146" s="1">
        <v>46078.666666666657</v>
      </c>
      <c r="H146" t="s">
        <v>28</v>
      </c>
      <c r="I146" t="s">
        <v>21</v>
      </c>
      <c r="J146" t="s">
        <v>64</v>
      </c>
      <c r="K146">
        <v>12</v>
      </c>
      <c r="L146">
        <v>24</v>
      </c>
      <c r="M146">
        <v>2</v>
      </c>
      <c r="N146" t="s">
        <v>23</v>
      </c>
      <c r="O146" t="s">
        <v>47</v>
      </c>
    </row>
    <row r="147" spans="1:15" x14ac:dyDescent="0.35">
      <c r="A147" t="s">
        <v>256</v>
      </c>
      <c r="B147" t="s">
        <v>165</v>
      </c>
      <c r="C147" t="s">
        <v>17</v>
      </c>
      <c r="D147" t="s">
        <v>77</v>
      </c>
      <c r="E147" t="s">
        <v>50</v>
      </c>
      <c r="F147" s="1">
        <v>46186.791666666657</v>
      </c>
      <c r="H147" t="s">
        <v>63</v>
      </c>
      <c r="I147" t="s">
        <v>257</v>
      </c>
      <c r="J147" t="s">
        <v>22</v>
      </c>
      <c r="L147">
        <v>8</v>
      </c>
      <c r="N147" t="s">
        <v>38</v>
      </c>
      <c r="O147" t="s">
        <v>44</v>
      </c>
    </row>
    <row r="148" spans="1:15" x14ac:dyDescent="0.35">
      <c r="A148" t="s">
        <v>258</v>
      </c>
      <c r="B148" t="s">
        <v>16</v>
      </c>
      <c r="C148" t="s">
        <v>33</v>
      </c>
      <c r="D148" t="s">
        <v>59</v>
      </c>
      <c r="E148" t="s">
        <v>27</v>
      </c>
      <c r="F148" s="1">
        <v>46059.375</v>
      </c>
      <c r="H148" t="s">
        <v>63</v>
      </c>
      <c r="I148" t="s">
        <v>29</v>
      </c>
      <c r="J148" t="s">
        <v>52</v>
      </c>
      <c r="L148">
        <v>8</v>
      </c>
      <c r="N148" t="s">
        <v>23</v>
      </c>
      <c r="O148" t="s">
        <v>39</v>
      </c>
    </row>
    <row r="149" spans="1:15" x14ac:dyDescent="0.35">
      <c r="A149" t="s">
        <v>259</v>
      </c>
      <c r="B149" t="s">
        <v>120</v>
      </c>
      <c r="C149" t="s">
        <v>56</v>
      </c>
      <c r="D149" t="s">
        <v>18</v>
      </c>
      <c r="E149" t="s">
        <v>46</v>
      </c>
      <c r="F149" s="1">
        <v>46115.083333333343</v>
      </c>
      <c r="G149" s="1">
        <v>46116.333333333343</v>
      </c>
      <c r="H149" t="s">
        <v>28</v>
      </c>
      <c r="I149" t="s">
        <v>68</v>
      </c>
      <c r="J149" t="s">
        <v>22</v>
      </c>
      <c r="K149">
        <v>30</v>
      </c>
      <c r="L149">
        <v>24</v>
      </c>
      <c r="M149">
        <v>1</v>
      </c>
      <c r="N149" t="s">
        <v>23</v>
      </c>
      <c r="O149" t="s">
        <v>44</v>
      </c>
    </row>
    <row r="150" spans="1:15" x14ac:dyDescent="0.35">
      <c r="A150" t="s">
        <v>260</v>
      </c>
      <c r="B150" t="s">
        <v>105</v>
      </c>
      <c r="C150" t="s">
        <v>71</v>
      </c>
      <c r="D150" t="s">
        <v>18</v>
      </c>
      <c r="E150" t="s">
        <v>19</v>
      </c>
      <c r="F150" s="1">
        <v>46040.458333333343</v>
      </c>
      <c r="G150" s="1">
        <v>46041.208333333343</v>
      </c>
      <c r="H150" t="s">
        <v>20</v>
      </c>
      <c r="I150" t="s">
        <v>21</v>
      </c>
      <c r="J150" t="s">
        <v>22</v>
      </c>
      <c r="K150">
        <v>18</v>
      </c>
      <c r="L150">
        <v>24</v>
      </c>
      <c r="M150">
        <v>2</v>
      </c>
      <c r="N150" t="s">
        <v>38</v>
      </c>
      <c r="O150" t="s">
        <v>24</v>
      </c>
    </row>
    <row r="151" spans="1:15" x14ac:dyDescent="0.35">
      <c r="A151" t="s">
        <v>261</v>
      </c>
      <c r="B151" t="s">
        <v>88</v>
      </c>
      <c r="C151" t="s">
        <v>33</v>
      </c>
      <c r="D151" t="s">
        <v>34</v>
      </c>
      <c r="E151" t="s">
        <v>27</v>
      </c>
      <c r="F151" s="1">
        <v>46198.583333333343</v>
      </c>
      <c r="H151" t="s">
        <v>63</v>
      </c>
      <c r="I151" t="s">
        <v>21</v>
      </c>
      <c r="J151" t="s">
        <v>30</v>
      </c>
      <c r="K151">
        <v>4</v>
      </c>
      <c r="L151">
        <v>8</v>
      </c>
      <c r="N151" t="s">
        <v>23</v>
      </c>
      <c r="O151" t="s">
        <v>39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2524-D74B-40CA-A7F9-181D0785A900}">
  <dimension ref="A1:U151"/>
  <sheetViews>
    <sheetView tabSelected="1" workbookViewId="0">
      <selection activeCell="F20" sqref="F20"/>
    </sheetView>
  </sheetViews>
  <sheetFormatPr defaultRowHeight="14.5" x14ac:dyDescent="0.35"/>
  <cols>
    <col min="1" max="1" width="10.90625" bestFit="1" customWidth="1"/>
    <col min="2" max="2" width="14.08984375" bestFit="1" customWidth="1"/>
    <col min="3" max="3" width="12" bestFit="1" customWidth="1"/>
    <col min="4" max="4" width="15.7265625" bestFit="1" customWidth="1"/>
    <col min="5" max="5" width="8.81640625" bestFit="1" customWidth="1"/>
    <col min="6" max="6" width="14.54296875" bestFit="1" customWidth="1"/>
    <col min="7" max="7" width="17.08984375" bestFit="1" customWidth="1"/>
    <col min="8" max="8" width="9.26953125" bestFit="1" customWidth="1"/>
    <col min="9" max="9" width="14.26953125" bestFit="1" customWidth="1"/>
    <col min="10" max="10" width="8.36328125" bestFit="1" customWidth="1"/>
    <col min="11" max="11" width="18.08984375" bestFit="1" customWidth="1"/>
    <col min="12" max="12" width="18.453125" bestFit="1" customWidth="1"/>
    <col min="13" max="13" width="17.6328125" bestFit="1" customWidth="1"/>
    <col min="14" max="14" width="11" bestFit="1" customWidth="1"/>
    <col min="15" max="15" width="9.90625" bestFit="1" customWidth="1"/>
    <col min="16" max="16" width="29.7265625" bestFit="1" customWidth="1"/>
    <col min="17" max="17" width="12.26953125" bestFit="1" customWidth="1"/>
    <col min="18" max="18" width="17.7265625" bestFit="1" customWidth="1"/>
    <col min="19" max="19" width="12.81640625" bestFit="1" customWidth="1"/>
    <col min="20" max="20" width="22.81640625" bestFit="1" customWidth="1"/>
    <col min="21" max="21" width="21.36328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262</v>
      </c>
      <c r="Q1" t="s">
        <v>263</v>
      </c>
      <c r="R1" t="s">
        <v>264</v>
      </c>
      <c r="S1" t="s">
        <v>265</v>
      </c>
      <c r="T1" t="s">
        <v>266</v>
      </c>
      <c r="U1" t="s">
        <v>267</v>
      </c>
    </row>
    <row r="2" spans="1:21" hidden="1" x14ac:dyDescent="0.35">
      <c r="A2" t="s">
        <v>25</v>
      </c>
      <c r="B2" t="s">
        <v>26</v>
      </c>
      <c r="C2" t="s">
        <v>17</v>
      </c>
      <c r="D2" t="s">
        <v>18</v>
      </c>
      <c r="E2" t="s">
        <v>27</v>
      </c>
      <c r="F2" s="3">
        <v>46082.666666666664</v>
      </c>
      <c r="G2" s="3"/>
      <c r="H2" t="s">
        <v>20</v>
      </c>
      <c r="I2" t="s">
        <v>29</v>
      </c>
      <c r="J2" t="s">
        <v>30</v>
      </c>
      <c r="K2">
        <v>24</v>
      </c>
      <c r="L2">
        <v>24</v>
      </c>
      <c r="N2" t="s">
        <v>23</v>
      </c>
      <c r="O2" t="s">
        <v>24</v>
      </c>
      <c r="P2" t="s">
        <v>268</v>
      </c>
      <c r="Q2" t="s">
        <v>269</v>
      </c>
      <c r="R2" s="4">
        <v>46082</v>
      </c>
      <c r="S2">
        <v>2026</v>
      </c>
      <c r="T2">
        <v>3</v>
      </c>
      <c r="U2" t="s">
        <v>270</v>
      </c>
    </row>
    <row r="3" spans="1:21" x14ac:dyDescent="0.3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s="3">
        <v>46063.541666666664</v>
      </c>
      <c r="G3" s="3"/>
      <c r="H3" t="s">
        <v>36</v>
      </c>
      <c r="I3" t="s">
        <v>37</v>
      </c>
      <c r="J3" t="s">
        <v>30</v>
      </c>
      <c r="K3">
        <v>18</v>
      </c>
      <c r="L3">
        <v>48</v>
      </c>
      <c r="N3" t="s">
        <v>38</v>
      </c>
      <c r="O3" t="s">
        <v>39</v>
      </c>
      <c r="P3" t="s">
        <v>268</v>
      </c>
      <c r="Q3" t="s">
        <v>269</v>
      </c>
      <c r="R3" s="4">
        <v>46063</v>
      </c>
      <c r="S3">
        <v>2026</v>
      </c>
      <c r="T3">
        <v>2</v>
      </c>
      <c r="U3" t="s">
        <v>271</v>
      </c>
    </row>
    <row r="4" spans="1:21" hidden="1" x14ac:dyDescent="0.35">
      <c r="A4" t="s">
        <v>48</v>
      </c>
      <c r="B4" t="s">
        <v>41</v>
      </c>
      <c r="C4" t="s">
        <v>49</v>
      </c>
      <c r="D4" t="s">
        <v>18</v>
      </c>
      <c r="E4" t="s">
        <v>50</v>
      </c>
      <c r="F4" s="3">
        <v>46094.583333333336</v>
      </c>
      <c r="G4" s="3"/>
      <c r="H4" t="s">
        <v>36</v>
      </c>
      <c r="I4" t="s">
        <v>51</v>
      </c>
      <c r="J4" t="s">
        <v>52</v>
      </c>
      <c r="K4">
        <v>8</v>
      </c>
      <c r="L4">
        <v>48</v>
      </c>
      <c r="N4" t="s">
        <v>23</v>
      </c>
      <c r="O4" t="s">
        <v>53</v>
      </c>
      <c r="P4" t="s">
        <v>268</v>
      </c>
      <c r="Q4" t="s">
        <v>269</v>
      </c>
      <c r="R4" s="4">
        <v>46094</v>
      </c>
      <c r="S4">
        <v>2026</v>
      </c>
      <c r="T4">
        <v>3</v>
      </c>
      <c r="U4" t="s">
        <v>270</v>
      </c>
    </row>
    <row r="5" spans="1:21" hidden="1" x14ac:dyDescent="0.35">
      <c r="A5" t="s">
        <v>54</v>
      </c>
      <c r="B5" t="s">
        <v>55</v>
      </c>
      <c r="C5" t="s">
        <v>56</v>
      </c>
      <c r="D5" t="s">
        <v>18</v>
      </c>
      <c r="E5" t="s">
        <v>27</v>
      </c>
      <c r="F5" s="3">
        <v>46185.208333333336</v>
      </c>
      <c r="G5" s="3"/>
      <c r="H5" t="s">
        <v>20</v>
      </c>
      <c r="I5" t="s">
        <v>21</v>
      </c>
      <c r="J5" t="s">
        <v>30</v>
      </c>
      <c r="K5">
        <v>30</v>
      </c>
      <c r="L5">
        <v>24</v>
      </c>
      <c r="N5" t="s">
        <v>23</v>
      </c>
      <c r="O5" t="s">
        <v>39</v>
      </c>
      <c r="P5" t="s">
        <v>268</v>
      </c>
      <c r="Q5" t="s">
        <v>269</v>
      </c>
      <c r="R5" s="4">
        <v>46185</v>
      </c>
      <c r="S5">
        <v>2026</v>
      </c>
      <c r="T5">
        <v>6</v>
      </c>
      <c r="U5" t="s">
        <v>272</v>
      </c>
    </row>
    <row r="6" spans="1:21" hidden="1" x14ac:dyDescent="0.35">
      <c r="A6" t="s">
        <v>65</v>
      </c>
      <c r="B6" t="s">
        <v>66</v>
      </c>
      <c r="C6" t="s">
        <v>33</v>
      </c>
      <c r="D6" t="s">
        <v>77</v>
      </c>
      <c r="E6" t="s">
        <v>19</v>
      </c>
      <c r="F6" s="3">
        <v>46172.541666666664</v>
      </c>
      <c r="G6" s="3"/>
      <c r="H6" t="s">
        <v>20</v>
      </c>
      <c r="I6" t="s">
        <v>67</v>
      </c>
      <c r="J6" t="s">
        <v>52</v>
      </c>
      <c r="K6">
        <v>6</v>
      </c>
      <c r="L6">
        <v>24</v>
      </c>
      <c r="N6" t="s">
        <v>23</v>
      </c>
      <c r="O6" t="s">
        <v>39</v>
      </c>
      <c r="P6" t="s">
        <v>268</v>
      </c>
      <c r="Q6" t="s">
        <v>269</v>
      </c>
      <c r="R6" s="4">
        <v>46172</v>
      </c>
      <c r="S6">
        <v>2026</v>
      </c>
      <c r="T6">
        <v>5</v>
      </c>
      <c r="U6" t="s">
        <v>273</v>
      </c>
    </row>
    <row r="7" spans="1:21" hidden="1" x14ac:dyDescent="0.35">
      <c r="A7" t="s">
        <v>69</v>
      </c>
      <c r="B7" t="s">
        <v>70</v>
      </c>
      <c r="C7" t="s">
        <v>71</v>
      </c>
      <c r="D7" t="s">
        <v>77</v>
      </c>
      <c r="E7" t="s">
        <v>35</v>
      </c>
      <c r="F7" s="3">
        <v>46197.125</v>
      </c>
      <c r="G7" s="3"/>
      <c r="H7" t="s">
        <v>20</v>
      </c>
      <c r="I7" t="s">
        <v>29</v>
      </c>
      <c r="J7" t="s">
        <v>52</v>
      </c>
      <c r="K7">
        <v>4</v>
      </c>
      <c r="L7">
        <v>24</v>
      </c>
      <c r="N7" t="s">
        <v>23</v>
      </c>
      <c r="O7" t="s">
        <v>53</v>
      </c>
      <c r="P7" t="s">
        <v>268</v>
      </c>
      <c r="Q7" t="s">
        <v>269</v>
      </c>
      <c r="R7" s="4">
        <v>46197</v>
      </c>
      <c r="S7">
        <v>2026</v>
      </c>
      <c r="T7">
        <v>6</v>
      </c>
      <c r="U7" t="s">
        <v>272</v>
      </c>
    </row>
    <row r="8" spans="1:21" hidden="1" x14ac:dyDescent="0.35">
      <c r="A8" t="s">
        <v>80</v>
      </c>
      <c r="B8" t="s">
        <v>81</v>
      </c>
      <c r="C8" t="s">
        <v>49</v>
      </c>
      <c r="D8" t="s">
        <v>34</v>
      </c>
      <c r="E8" t="s">
        <v>27</v>
      </c>
      <c r="F8" s="3">
        <v>46178.541666666664</v>
      </c>
      <c r="G8" s="3"/>
      <c r="H8" t="s">
        <v>20</v>
      </c>
      <c r="I8" t="s">
        <v>68</v>
      </c>
      <c r="J8" t="s">
        <v>30</v>
      </c>
      <c r="K8">
        <v>24</v>
      </c>
      <c r="L8">
        <v>24</v>
      </c>
      <c r="N8" t="s">
        <v>23</v>
      </c>
      <c r="O8" t="s">
        <v>53</v>
      </c>
      <c r="P8" t="s">
        <v>268</v>
      </c>
      <c r="Q8" t="s">
        <v>269</v>
      </c>
      <c r="R8" s="4">
        <v>46178</v>
      </c>
      <c r="S8">
        <v>2026</v>
      </c>
      <c r="T8">
        <v>6</v>
      </c>
      <c r="U8" t="s">
        <v>272</v>
      </c>
    </row>
    <row r="9" spans="1:21" hidden="1" x14ac:dyDescent="0.35">
      <c r="A9" t="s">
        <v>83</v>
      </c>
      <c r="B9" t="s">
        <v>84</v>
      </c>
      <c r="C9" t="s">
        <v>17</v>
      </c>
      <c r="D9" t="s">
        <v>18</v>
      </c>
      <c r="E9" t="s">
        <v>27</v>
      </c>
      <c r="F9" s="3">
        <v>46040.041666666664</v>
      </c>
      <c r="G9" s="3"/>
      <c r="H9" t="s">
        <v>36</v>
      </c>
      <c r="I9" t="s">
        <v>29</v>
      </c>
      <c r="J9" t="s">
        <v>30</v>
      </c>
      <c r="K9">
        <v>30</v>
      </c>
      <c r="L9">
        <v>48</v>
      </c>
      <c r="N9" t="s">
        <v>23</v>
      </c>
      <c r="O9" t="s">
        <v>53</v>
      </c>
      <c r="P9" t="s">
        <v>268</v>
      </c>
      <c r="Q9" t="s">
        <v>269</v>
      </c>
      <c r="R9" s="4">
        <v>46040</v>
      </c>
      <c r="S9">
        <v>2026</v>
      </c>
      <c r="T9">
        <v>1</v>
      </c>
      <c r="U9" t="s">
        <v>274</v>
      </c>
    </row>
    <row r="10" spans="1:21" x14ac:dyDescent="0.35">
      <c r="A10" t="s">
        <v>89</v>
      </c>
      <c r="B10" t="s">
        <v>90</v>
      </c>
      <c r="C10" t="s">
        <v>33</v>
      </c>
      <c r="D10" t="s">
        <v>18</v>
      </c>
      <c r="E10" t="s">
        <v>27</v>
      </c>
      <c r="F10" s="3">
        <v>46131.208333333336</v>
      </c>
      <c r="G10" s="3"/>
      <c r="H10" t="s">
        <v>36</v>
      </c>
      <c r="I10" t="s">
        <v>67</v>
      </c>
      <c r="J10" t="s">
        <v>30</v>
      </c>
      <c r="K10">
        <v>30</v>
      </c>
      <c r="L10">
        <v>48</v>
      </c>
      <c r="N10" t="s">
        <v>38</v>
      </c>
      <c r="O10" t="s">
        <v>47</v>
      </c>
      <c r="P10" t="s">
        <v>268</v>
      </c>
      <c r="Q10" t="s">
        <v>269</v>
      </c>
      <c r="R10" s="4">
        <v>46131</v>
      </c>
      <c r="S10">
        <v>2026</v>
      </c>
      <c r="T10">
        <v>4</v>
      </c>
      <c r="U10" t="s">
        <v>275</v>
      </c>
    </row>
    <row r="11" spans="1:21" hidden="1" x14ac:dyDescent="0.35">
      <c r="A11" t="s">
        <v>95</v>
      </c>
      <c r="B11" t="s">
        <v>76</v>
      </c>
      <c r="C11" t="s">
        <v>49</v>
      </c>
      <c r="D11" t="s">
        <v>34</v>
      </c>
      <c r="E11" t="s">
        <v>27</v>
      </c>
      <c r="F11" s="3">
        <v>46037.75</v>
      </c>
      <c r="G11" s="3"/>
      <c r="H11" t="s">
        <v>20</v>
      </c>
      <c r="I11" t="s">
        <v>29</v>
      </c>
      <c r="J11" t="s">
        <v>52</v>
      </c>
      <c r="K11">
        <v>2</v>
      </c>
      <c r="L11">
        <v>24</v>
      </c>
      <c r="N11" t="s">
        <v>23</v>
      </c>
      <c r="O11" t="s">
        <v>47</v>
      </c>
      <c r="P11" t="s">
        <v>268</v>
      </c>
      <c r="Q11" t="s">
        <v>269</v>
      </c>
      <c r="R11" s="4">
        <v>46037</v>
      </c>
      <c r="S11">
        <v>2026</v>
      </c>
      <c r="T11">
        <v>1</v>
      </c>
      <c r="U11" t="s">
        <v>274</v>
      </c>
    </row>
    <row r="12" spans="1:21" hidden="1" x14ac:dyDescent="0.35">
      <c r="A12" t="s">
        <v>98</v>
      </c>
      <c r="B12" t="s">
        <v>99</v>
      </c>
      <c r="C12" t="s">
        <v>33</v>
      </c>
      <c r="D12" t="s">
        <v>18</v>
      </c>
      <c r="E12" t="s">
        <v>27</v>
      </c>
      <c r="F12" s="3">
        <v>46043.541666666664</v>
      </c>
      <c r="G12" s="3"/>
      <c r="H12" t="s">
        <v>20</v>
      </c>
      <c r="I12" t="s">
        <v>68</v>
      </c>
      <c r="J12" t="s">
        <v>52</v>
      </c>
      <c r="K12">
        <v>8</v>
      </c>
      <c r="L12">
        <v>24</v>
      </c>
      <c r="N12" t="s">
        <v>23</v>
      </c>
      <c r="O12" t="s">
        <v>53</v>
      </c>
      <c r="P12" t="s">
        <v>268</v>
      </c>
      <c r="Q12" t="s">
        <v>269</v>
      </c>
      <c r="R12" s="4">
        <v>46043</v>
      </c>
      <c r="S12">
        <v>2026</v>
      </c>
      <c r="T12">
        <v>1</v>
      </c>
      <c r="U12" t="s">
        <v>274</v>
      </c>
    </row>
    <row r="13" spans="1:21" hidden="1" x14ac:dyDescent="0.35">
      <c r="A13" t="s">
        <v>101</v>
      </c>
      <c r="B13" t="s">
        <v>79</v>
      </c>
      <c r="C13" t="s">
        <v>71</v>
      </c>
      <c r="D13" t="s">
        <v>18</v>
      </c>
      <c r="E13" t="s">
        <v>27</v>
      </c>
      <c r="F13" s="3">
        <v>46194.833333333336</v>
      </c>
      <c r="G13" s="3"/>
      <c r="H13" t="s">
        <v>36</v>
      </c>
      <c r="I13" t="s">
        <v>67</v>
      </c>
      <c r="J13" t="s">
        <v>52</v>
      </c>
      <c r="K13">
        <v>2</v>
      </c>
      <c r="L13">
        <v>48</v>
      </c>
      <c r="N13" t="s">
        <v>23</v>
      </c>
      <c r="O13" t="s">
        <v>47</v>
      </c>
      <c r="P13" t="s">
        <v>268</v>
      </c>
      <c r="Q13" t="s">
        <v>269</v>
      </c>
      <c r="R13" s="4">
        <v>46194</v>
      </c>
      <c r="S13">
        <v>2026</v>
      </c>
      <c r="T13">
        <v>6</v>
      </c>
      <c r="U13" t="s">
        <v>272</v>
      </c>
    </row>
    <row r="14" spans="1:21" hidden="1" x14ac:dyDescent="0.35">
      <c r="A14" t="s">
        <v>102</v>
      </c>
      <c r="B14" t="s">
        <v>103</v>
      </c>
      <c r="C14" t="s">
        <v>33</v>
      </c>
      <c r="D14" t="s">
        <v>18</v>
      </c>
      <c r="E14" t="s">
        <v>35</v>
      </c>
      <c r="F14" s="3">
        <v>46160.25</v>
      </c>
      <c r="G14" s="3"/>
      <c r="H14" t="s">
        <v>20</v>
      </c>
      <c r="I14" t="s">
        <v>37</v>
      </c>
      <c r="J14" t="s">
        <v>30</v>
      </c>
      <c r="K14">
        <v>4</v>
      </c>
      <c r="L14">
        <v>24</v>
      </c>
      <c r="N14" t="s">
        <v>23</v>
      </c>
      <c r="O14" t="s">
        <v>53</v>
      </c>
      <c r="P14" t="s">
        <v>268</v>
      </c>
      <c r="Q14" t="s">
        <v>269</v>
      </c>
      <c r="R14" s="4">
        <v>46160</v>
      </c>
      <c r="S14">
        <v>2026</v>
      </c>
      <c r="T14">
        <v>5</v>
      </c>
      <c r="U14" t="s">
        <v>273</v>
      </c>
    </row>
    <row r="15" spans="1:21" hidden="1" x14ac:dyDescent="0.35">
      <c r="A15" t="s">
        <v>106</v>
      </c>
      <c r="B15" t="s">
        <v>107</v>
      </c>
      <c r="C15" t="s">
        <v>49</v>
      </c>
      <c r="D15" t="s">
        <v>34</v>
      </c>
      <c r="E15" t="s">
        <v>35</v>
      </c>
      <c r="F15" s="3">
        <v>46050.708333333336</v>
      </c>
      <c r="G15" s="3"/>
      <c r="H15" t="s">
        <v>20</v>
      </c>
      <c r="I15" t="s">
        <v>37</v>
      </c>
      <c r="J15" t="s">
        <v>52</v>
      </c>
      <c r="K15">
        <v>8</v>
      </c>
      <c r="L15">
        <v>24</v>
      </c>
      <c r="N15" t="s">
        <v>23</v>
      </c>
      <c r="O15" t="s">
        <v>24</v>
      </c>
      <c r="P15" t="s">
        <v>268</v>
      </c>
      <c r="Q15" t="s">
        <v>269</v>
      </c>
      <c r="R15" s="4">
        <v>46050</v>
      </c>
      <c r="S15">
        <v>2026</v>
      </c>
      <c r="T15">
        <v>1</v>
      </c>
      <c r="U15" t="s">
        <v>274</v>
      </c>
    </row>
    <row r="16" spans="1:21" x14ac:dyDescent="0.35">
      <c r="A16" t="s">
        <v>113</v>
      </c>
      <c r="B16" t="s">
        <v>114</v>
      </c>
      <c r="C16" t="s">
        <v>49</v>
      </c>
      <c r="D16" t="s">
        <v>18</v>
      </c>
      <c r="E16" t="s">
        <v>35</v>
      </c>
      <c r="F16" s="3">
        <v>46068.416666666664</v>
      </c>
      <c r="G16" s="3"/>
      <c r="H16" t="s">
        <v>60</v>
      </c>
      <c r="I16" t="s">
        <v>29</v>
      </c>
      <c r="J16" t="s">
        <v>30</v>
      </c>
      <c r="K16">
        <v>6</v>
      </c>
      <c r="L16">
        <v>8</v>
      </c>
      <c r="N16" t="s">
        <v>38</v>
      </c>
      <c r="O16" t="s">
        <v>53</v>
      </c>
      <c r="P16" t="s">
        <v>268</v>
      </c>
      <c r="Q16" t="s">
        <v>269</v>
      </c>
      <c r="R16" s="4">
        <v>46068</v>
      </c>
      <c r="S16">
        <v>2026</v>
      </c>
      <c r="T16">
        <v>2</v>
      </c>
      <c r="U16" t="s">
        <v>271</v>
      </c>
    </row>
    <row r="17" spans="1:21" hidden="1" x14ac:dyDescent="0.35">
      <c r="A17" t="s">
        <v>115</v>
      </c>
      <c r="B17" t="s">
        <v>116</v>
      </c>
      <c r="C17" t="s">
        <v>17</v>
      </c>
      <c r="D17" t="s">
        <v>18</v>
      </c>
      <c r="E17" t="s">
        <v>27</v>
      </c>
      <c r="F17" s="3">
        <v>46074.583333333336</v>
      </c>
      <c r="G17" s="3"/>
      <c r="H17" t="s">
        <v>36</v>
      </c>
      <c r="I17" t="s">
        <v>37</v>
      </c>
      <c r="J17" t="s">
        <v>30</v>
      </c>
      <c r="K17">
        <v>2</v>
      </c>
      <c r="L17">
        <v>48</v>
      </c>
      <c r="N17" t="s">
        <v>23</v>
      </c>
      <c r="O17" t="s">
        <v>39</v>
      </c>
      <c r="P17" t="s">
        <v>268</v>
      </c>
      <c r="Q17" t="s">
        <v>269</v>
      </c>
      <c r="R17" s="4">
        <v>46074</v>
      </c>
      <c r="S17">
        <v>2026</v>
      </c>
      <c r="T17">
        <v>2</v>
      </c>
      <c r="U17" t="s">
        <v>271</v>
      </c>
    </row>
    <row r="18" spans="1:21" hidden="1" x14ac:dyDescent="0.35">
      <c r="A18" t="s">
        <v>117</v>
      </c>
      <c r="B18" t="s">
        <v>118</v>
      </c>
      <c r="C18" t="s">
        <v>71</v>
      </c>
      <c r="D18" t="s">
        <v>34</v>
      </c>
      <c r="E18" t="s">
        <v>35</v>
      </c>
      <c r="F18" s="3">
        <v>46094.458333333336</v>
      </c>
      <c r="G18" s="3"/>
      <c r="H18" t="s">
        <v>20</v>
      </c>
      <c r="I18" t="s">
        <v>67</v>
      </c>
      <c r="J18" t="s">
        <v>52</v>
      </c>
      <c r="K18">
        <v>4</v>
      </c>
      <c r="L18">
        <v>24</v>
      </c>
      <c r="N18" t="s">
        <v>23</v>
      </c>
      <c r="O18" t="s">
        <v>47</v>
      </c>
      <c r="P18" t="s">
        <v>268</v>
      </c>
      <c r="Q18" t="s">
        <v>269</v>
      </c>
      <c r="R18" s="4">
        <v>46094</v>
      </c>
      <c r="S18">
        <v>2026</v>
      </c>
      <c r="T18">
        <v>3</v>
      </c>
      <c r="U18" t="s">
        <v>270</v>
      </c>
    </row>
    <row r="19" spans="1:21" x14ac:dyDescent="0.35">
      <c r="A19" t="s">
        <v>119</v>
      </c>
      <c r="B19" t="s">
        <v>120</v>
      </c>
      <c r="C19" t="s">
        <v>33</v>
      </c>
      <c r="D19" t="s">
        <v>34</v>
      </c>
      <c r="E19" t="s">
        <v>35</v>
      </c>
      <c r="F19" s="3">
        <v>46050.791666666664</v>
      </c>
      <c r="G19" s="3"/>
      <c r="H19" t="s">
        <v>60</v>
      </c>
      <c r="I19" t="s">
        <v>37</v>
      </c>
      <c r="J19" t="s">
        <v>52</v>
      </c>
      <c r="L19">
        <v>8</v>
      </c>
      <c r="N19" t="s">
        <v>38</v>
      </c>
      <c r="O19" t="s">
        <v>47</v>
      </c>
      <c r="P19" t="s">
        <v>268</v>
      </c>
      <c r="Q19" t="s">
        <v>269</v>
      </c>
      <c r="R19" s="4">
        <v>46050</v>
      </c>
      <c r="S19">
        <v>2026</v>
      </c>
      <c r="T19">
        <v>1</v>
      </c>
      <c r="U19" t="s">
        <v>274</v>
      </c>
    </row>
    <row r="20" spans="1:21" x14ac:dyDescent="0.35">
      <c r="A20" t="s">
        <v>121</v>
      </c>
      <c r="B20" t="s">
        <v>116</v>
      </c>
      <c r="C20" t="s">
        <v>33</v>
      </c>
      <c r="D20" t="s">
        <v>77</v>
      </c>
      <c r="E20" t="s">
        <v>19</v>
      </c>
      <c r="F20" s="3">
        <v>46034.541666666664</v>
      </c>
      <c r="G20" s="3"/>
      <c r="H20" t="s">
        <v>60</v>
      </c>
      <c r="I20" t="s">
        <v>68</v>
      </c>
      <c r="J20" t="s">
        <v>30</v>
      </c>
      <c r="K20">
        <v>24</v>
      </c>
      <c r="L20">
        <v>8</v>
      </c>
      <c r="N20" t="s">
        <v>38</v>
      </c>
      <c r="O20" t="s">
        <v>53</v>
      </c>
      <c r="P20" t="s">
        <v>268</v>
      </c>
      <c r="Q20" t="s">
        <v>269</v>
      </c>
      <c r="R20" s="4">
        <v>46034</v>
      </c>
      <c r="S20">
        <v>2026</v>
      </c>
      <c r="T20">
        <v>1</v>
      </c>
      <c r="U20" t="s">
        <v>274</v>
      </c>
    </row>
    <row r="21" spans="1:21" hidden="1" x14ac:dyDescent="0.35">
      <c r="A21" t="s">
        <v>122</v>
      </c>
      <c r="B21" t="s">
        <v>123</v>
      </c>
      <c r="C21" t="s">
        <v>71</v>
      </c>
      <c r="D21" t="s">
        <v>77</v>
      </c>
      <c r="E21" t="s">
        <v>19</v>
      </c>
      <c r="F21" s="3">
        <v>46192.125</v>
      </c>
      <c r="G21" s="3"/>
      <c r="H21" t="s">
        <v>36</v>
      </c>
      <c r="I21" t="s">
        <v>68</v>
      </c>
      <c r="J21" t="s">
        <v>52</v>
      </c>
      <c r="K21">
        <v>18</v>
      </c>
      <c r="L21">
        <v>48</v>
      </c>
      <c r="N21" t="s">
        <v>23</v>
      </c>
      <c r="O21" t="s">
        <v>47</v>
      </c>
      <c r="P21" t="s">
        <v>268</v>
      </c>
      <c r="Q21" t="s">
        <v>269</v>
      </c>
      <c r="R21" s="4">
        <v>46192</v>
      </c>
      <c r="S21">
        <v>2026</v>
      </c>
      <c r="T21">
        <v>6</v>
      </c>
      <c r="U21" t="s">
        <v>272</v>
      </c>
    </row>
    <row r="22" spans="1:21" hidden="1" x14ac:dyDescent="0.35">
      <c r="A22" t="s">
        <v>124</v>
      </c>
      <c r="B22" t="s">
        <v>55</v>
      </c>
      <c r="C22" t="s">
        <v>71</v>
      </c>
      <c r="D22" t="s">
        <v>77</v>
      </c>
      <c r="E22" t="s">
        <v>27</v>
      </c>
      <c r="F22" s="3">
        <v>46072.541666666664</v>
      </c>
      <c r="G22" s="3"/>
      <c r="H22" t="s">
        <v>60</v>
      </c>
      <c r="I22" t="s">
        <v>21</v>
      </c>
      <c r="J22" t="s">
        <v>30</v>
      </c>
      <c r="L22">
        <v>8</v>
      </c>
      <c r="N22" t="s">
        <v>23</v>
      </c>
      <c r="O22" t="s">
        <v>24</v>
      </c>
      <c r="P22" t="s">
        <v>268</v>
      </c>
      <c r="Q22" t="s">
        <v>269</v>
      </c>
      <c r="R22" s="4">
        <v>46072</v>
      </c>
      <c r="S22">
        <v>2026</v>
      </c>
      <c r="T22">
        <v>2</v>
      </c>
      <c r="U22" t="s">
        <v>271</v>
      </c>
    </row>
    <row r="23" spans="1:21" hidden="1" x14ac:dyDescent="0.35">
      <c r="A23" t="s">
        <v>125</v>
      </c>
      <c r="B23" t="s">
        <v>118</v>
      </c>
      <c r="C23" t="s">
        <v>33</v>
      </c>
      <c r="D23" t="s">
        <v>18</v>
      </c>
      <c r="E23" t="s">
        <v>19</v>
      </c>
      <c r="F23" s="3">
        <v>46096.25</v>
      </c>
      <c r="G23" s="3"/>
      <c r="H23" t="s">
        <v>60</v>
      </c>
      <c r="I23" t="s">
        <v>29</v>
      </c>
      <c r="J23" t="s">
        <v>52</v>
      </c>
      <c r="K23">
        <v>30</v>
      </c>
      <c r="L23">
        <v>8</v>
      </c>
      <c r="N23" t="s">
        <v>23</v>
      </c>
      <c r="O23" t="s">
        <v>47</v>
      </c>
      <c r="P23" t="s">
        <v>268</v>
      </c>
      <c r="Q23" t="s">
        <v>269</v>
      </c>
      <c r="R23" s="4">
        <v>46096</v>
      </c>
      <c r="S23">
        <v>2026</v>
      </c>
      <c r="T23">
        <v>3</v>
      </c>
      <c r="U23" t="s">
        <v>270</v>
      </c>
    </row>
    <row r="24" spans="1:21" hidden="1" x14ac:dyDescent="0.35">
      <c r="A24" t="s">
        <v>126</v>
      </c>
      <c r="B24" t="s">
        <v>127</v>
      </c>
      <c r="C24" t="s">
        <v>49</v>
      </c>
      <c r="D24" t="s">
        <v>77</v>
      </c>
      <c r="E24" t="s">
        <v>50</v>
      </c>
      <c r="F24" s="3">
        <v>46066.083333333336</v>
      </c>
      <c r="G24" s="3"/>
      <c r="H24" t="s">
        <v>36</v>
      </c>
      <c r="I24" t="s">
        <v>68</v>
      </c>
      <c r="J24" t="s">
        <v>52</v>
      </c>
      <c r="K24">
        <v>8</v>
      </c>
      <c r="L24">
        <v>48</v>
      </c>
      <c r="N24" t="s">
        <v>23</v>
      </c>
      <c r="O24" t="s">
        <v>47</v>
      </c>
      <c r="P24" t="s">
        <v>268</v>
      </c>
      <c r="Q24" t="s">
        <v>269</v>
      </c>
      <c r="R24" s="4">
        <v>46066</v>
      </c>
      <c r="S24">
        <v>2026</v>
      </c>
      <c r="T24">
        <v>2</v>
      </c>
      <c r="U24" t="s">
        <v>271</v>
      </c>
    </row>
    <row r="25" spans="1:21" hidden="1" x14ac:dyDescent="0.35">
      <c r="A25" t="s">
        <v>135</v>
      </c>
      <c r="B25" t="s">
        <v>136</v>
      </c>
      <c r="C25" t="s">
        <v>71</v>
      </c>
      <c r="D25" t="s">
        <v>77</v>
      </c>
      <c r="E25" t="s">
        <v>35</v>
      </c>
      <c r="F25" s="3">
        <v>46058.166666666664</v>
      </c>
      <c r="G25" s="3"/>
      <c r="H25" t="s">
        <v>20</v>
      </c>
      <c r="I25" t="s">
        <v>67</v>
      </c>
      <c r="J25" t="s">
        <v>30</v>
      </c>
      <c r="K25">
        <v>4</v>
      </c>
      <c r="L25">
        <v>24</v>
      </c>
      <c r="N25" t="s">
        <v>23</v>
      </c>
      <c r="O25" t="s">
        <v>39</v>
      </c>
      <c r="P25" t="s">
        <v>268</v>
      </c>
      <c r="Q25" t="s">
        <v>269</v>
      </c>
      <c r="R25" s="4">
        <v>46058</v>
      </c>
      <c r="S25">
        <v>2026</v>
      </c>
      <c r="T25">
        <v>2</v>
      </c>
      <c r="U25" t="s">
        <v>271</v>
      </c>
    </row>
    <row r="26" spans="1:21" x14ac:dyDescent="0.35">
      <c r="A26" t="s">
        <v>137</v>
      </c>
      <c r="B26" t="s">
        <v>138</v>
      </c>
      <c r="C26" t="s">
        <v>71</v>
      </c>
      <c r="D26" t="s">
        <v>77</v>
      </c>
      <c r="E26" t="s">
        <v>50</v>
      </c>
      <c r="F26" s="3">
        <v>46129.041666666664</v>
      </c>
      <c r="G26" s="3"/>
      <c r="H26" t="s">
        <v>20</v>
      </c>
      <c r="I26" t="s">
        <v>29</v>
      </c>
      <c r="J26" t="s">
        <v>22</v>
      </c>
      <c r="L26">
        <v>24</v>
      </c>
      <c r="N26" t="s">
        <v>38</v>
      </c>
      <c r="O26" t="s">
        <v>47</v>
      </c>
      <c r="P26" t="s">
        <v>276</v>
      </c>
      <c r="Q26" t="s">
        <v>277</v>
      </c>
      <c r="R26" s="4">
        <v>46129</v>
      </c>
      <c r="S26">
        <v>2026</v>
      </c>
      <c r="T26">
        <v>4</v>
      </c>
      <c r="U26" t="s">
        <v>275</v>
      </c>
    </row>
    <row r="27" spans="1:21" hidden="1" x14ac:dyDescent="0.35">
      <c r="A27" t="s">
        <v>153</v>
      </c>
      <c r="B27" t="s">
        <v>84</v>
      </c>
      <c r="C27" t="s">
        <v>42</v>
      </c>
      <c r="D27" t="s">
        <v>18</v>
      </c>
      <c r="E27" t="s">
        <v>35</v>
      </c>
      <c r="F27" s="3">
        <v>46133.458333333336</v>
      </c>
      <c r="G27" s="3"/>
      <c r="H27" t="s">
        <v>60</v>
      </c>
      <c r="I27" t="s">
        <v>21</v>
      </c>
      <c r="J27" t="s">
        <v>30</v>
      </c>
      <c r="K27">
        <v>6</v>
      </c>
      <c r="L27">
        <v>8</v>
      </c>
      <c r="N27" t="s">
        <v>23</v>
      </c>
      <c r="O27" t="s">
        <v>47</v>
      </c>
      <c r="P27" t="s">
        <v>268</v>
      </c>
      <c r="Q27" t="s">
        <v>269</v>
      </c>
      <c r="R27" s="4">
        <v>46133</v>
      </c>
      <c r="S27">
        <v>2026</v>
      </c>
      <c r="T27">
        <v>4</v>
      </c>
      <c r="U27" t="s">
        <v>275</v>
      </c>
    </row>
    <row r="28" spans="1:21" hidden="1" x14ac:dyDescent="0.35">
      <c r="A28" t="s">
        <v>154</v>
      </c>
      <c r="B28" t="s">
        <v>103</v>
      </c>
      <c r="C28" t="s">
        <v>33</v>
      </c>
      <c r="D28" t="s">
        <v>18</v>
      </c>
      <c r="E28" t="s">
        <v>50</v>
      </c>
      <c r="F28" s="3">
        <v>46134.75</v>
      </c>
      <c r="G28" s="3"/>
      <c r="H28" t="s">
        <v>36</v>
      </c>
      <c r="I28" t="s">
        <v>37</v>
      </c>
      <c r="J28" t="s">
        <v>30</v>
      </c>
      <c r="K28">
        <v>12</v>
      </c>
      <c r="L28">
        <v>48</v>
      </c>
      <c r="N28" t="s">
        <v>23</v>
      </c>
      <c r="O28" t="s">
        <v>47</v>
      </c>
      <c r="P28" t="s">
        <v>268</v>
      </c>
      <c r="Q28" t="s">
        <v>269</v>
      </c>
      <c r="R28" s="4">
        <v>46134</v>
      </c>
      <c r="S28">
        <v>2026</v>
      </c>
      <c r="T28">
        <v>4</v>
      </c>
      <c r="U28" t="s">
        <v>275</v>
      </c>
    </row>
    <row r="29" spans="1:21" hidden="1" x14ac:dyDescent="0.35">
      <c r="A29" t="s">
        <v>156</v>
      </c>
      <c r="B29" t="s">
        <v>88</v>
      </c>
      <c r="C29" t="s">
        <v>71</v>
      </c>
      <c r="D29" t="s">
        <v>34</v>
      </c>
      <c r="E29" t="s">
        <v>19</v>
      </c>
      <c r="F29" s="3">
        <v>46175.333333333336</v>
      </c>
      <c r="G29" s="3"/>
      <c r="H29" t="s">
        <v>20</v>
      </c>
      <c r="I29" t="s">
        <v>29</v>
      </c>
      <c r="J29" t="s">
        <v>30</v>
      </c>
      <c r="K29">
        <v>8</v>
      </c>
      <c r="L29">
        <v>24</v>
      </c>
      <c r="N29" t="s">
        <v>23</v>
      </c>
      <c r="O29" t="s">
        <v>47</v>
      </c>
      <c r="P29" t="s">
        <v>268</v>
      </c>
      <c r="Q29" t="s">
        <v>269</v>
      </c>
      <c r="R29" s="4">
        <v>46175</v>
      </c>
      <c r="S29">
        <v>2026</v>
      </c>
      <c r="T29">
        <v>6</v>
      </c>
      <c r="U29" t="s">
        <v>272</v>
      </c>
    </row>
    <row r="30" spans="1:21" hidden="1" x14ac:dyDescent="0.35">
      <c r="A30" t="s">
        <v>158</v>
      </c>
      <c r="B30" t="s">
        <v>55</v>
      </c>
      <c r="C30" t="s">
        <v>49</v>
      </c>
      <c r="D30" t="s">
        <v>34</v>
      </c>
      <c r="E30" t="s">
        <v>27</v>
      </c>
      <c r="F30" s="3">
        <v>46117.625</v>
      </c>
      <c r="G30" s="3"/>
      <c r="H30" t="s">
        <v>20</v>
      </c>
      <c r="I30" t="s">
        <v>68</v>
      </c>
      <c r="J30" t="s">
        <v>52</v>
      </c>
      <c r="K30">
        <v>48</v>
      </c>
      <c r="L30">
        <v>24</v>
      </c>
      <c r="N30" t="s">
        <v>23</v>
      </c>
      <c r="O30" t="s">
        <v>47</v>
      </c>
      <c r="P30" t="s">
        <v>268</v>
      </c>
      <c r="Q30" t="s">
        <v>269</v>
      </c>
      <c r="R30" s="4">
        <v>46117</v>
      </c>
      <c r="S30">
        <v>2026</v>
      </c>
      <c r="T30">
        <v>4</v>
      </c>
      <c r="U30" t="s">
        <v>275</v>
      </c>
    </row>
    <row r="31" spans="1:21" hidden="1" x14ac:dyDescent="0.35">
      <c r="A31" t="s">
        <v>159</v>
      </c>
      <c r="B31" t="s">
        <v>88</v>
      </c>
      <c r="C31" t="s">
        <v>56</v>
      </c>
      <c r="D31" t="s">
        <v>18</v>
      </c>
      <c r="E31" t="s">
        <v>19</v>
      </c>
      <c r="F31" s="3">
        <v>46101.333333333336</v>
      </c>
      <c r="G31" s="3"/>
      <c r="H31" t="s">
        <v>20</v>
      </c>
      <c r="I31" t="s">
        <v>29</v>
      </c>
      <c r="J31" t="s">
        <v>30</v>
      </c>
      <c r="K31">
        <v>4</v>
      </c>
      <c r="L31">
        <v>24</v>
      </c>
      <c r="N31" t="s">
        <v>23</v>
      </c>
      <c r="O31" t="s">
        <v>53</v>
      </c>
      <c r="P31" t="s">
        <v>268</v>
      </c>
      <c r="Q31" t="s">
        <v>269</v>
      </c>
      <c r="R31" s="4">
        <v>46101</v>
      </c>
      <c r="S31">
        <v>2026</v>
      </c>
      <c r="T31">
        <v>3</v>
      </c>
      <c r="U31" t="s">
        <v>270</v>
      </c>
    </row>
    <row r="32" spans="1:21" x14ac:dyDescent="0.35">
      <c r="A32" t="s">
        <v>161</v>
      </c>
      <c r="B32" t="s">
        <v>120</v>
      </c>
      <c r="C32" t="s">
        <v>71</v>
      </c>
      <c r="D32" t="s">
        <v>18</v>
      </c>
      <c r="E32" t="s">
        <v>27</v>
      </c>
      <c r="F32" s="3">
        <v>46055.333333333336</v>
      </c>
      <c r="G32" s="3"/>
      <c r="H32" t="s">
        <v>60</v>
      </c>
      <c r="I32" t="s">
        <v>29</v>
      </c>
      <c r="J32" t="s">
        <v>52</v>
      </c>
      <c r="K32">
        <v>30</v>
      </c>
      <c r="L32">
        <v>8</v>
      </c>
      <c r="N32" t="s">
        <v>38</v>
      </c>
      <c r="O32" t="s">
        <v>39</v>
      </c>
      <c r="P32" t="s">
        <v>268</v>
      </c>
      <c r="Q32" t="s">
        <v>269</v>
      </c>
      <c r="R32" s="4">
        <v>46055</v>
      </c>
      <c r="S32">
        <v>2026</v>
      </c>
      <c r="T32">
        <v>2</v>
      </c>
      <c r="U32" t="s">
        <v>271</v>
      </c>
    </row>
    <row r="33" spans="1:21" hidden="1" x14ac:dyDescent="0.35">
      <c r="A33" t="s">
        <v>162</v>
      </c>
      <c r="B33" t="s">
        <v>163</v>
      </c>
      <c r="C33" t="s">
        <v>17</v>
      </c>
      <c r="D33" t="s">
        <v>77</v>
      </c>
      <c r="E33" t="s">
        <v>19</v>
      </c>
      <c r="F33" s="3">
        <v>46096</v>
      </c>
      <c r="G33" s="3"/>
      <c r="H33" t="s">
        <v>60</v>
      </c>
      <c r="I33" t="s">
        <v>37</v>
      </c>
      <c r="J33" t="s">
        <v>30</v>
      </c>
      <c r="K33">
        <v>12</v>
      </c>
      <c r="L33">
        <v>8</v>
      </c>
      <c r="N33" t="s">
        <v>23</v>
      </c>
      <c r="O33" t="s">
        <v>47</v>
      </c>
      <c r="P33" t="s">
        <v>268</v>
      </c>
      <c r="Q33" t="s">
        <v>269</v>
      </c>
      <c r="R33" s="4">
        <v>46096</v>
      </c>
      <c r="S33">
        <v>2026</v>
      </c>
      <c r="T33">
        <v>3</v>
      </c>
      <c r="U33" t="s">
        <v>270</v>
      </c>
    </row>
    <row r="34" spans="1:21" x14ac:dyDescent="0.35">
      <c r="A34" t="s">
        <v>164</v>
      </c>
      <c r="B34" t="s">
        <v>165</v>
      </c>
      <c r="C34" t="s">
        <v>17</v>
      </c>
      <c r="D34" t="s">
        <v>18</v>
      </c>
      <c r="E34" t="s">
        <v>50</v>
      </c>
      <c r="F34" s="3">
        <v>46041.75</v>
      </c>
      <c r="G34" s="3"/>
      <c r="H34" t="s">
        <v>60</v>
      </c>
      <c r="I34" t="s">
        <v>51</v>
      </c>
      <c r="J34" t="s">
        <v>30</v>
      </c>
      <c r="K34">
        <v>12</v>
      </c>
      <c r="L34">
        <v>8</v>
      </c>
      <c r="N34" t="s">
        <v>38</v>
      </c>
      <c r="O34" t="s">
        <v>24</v>
      </c>
      <c r="P34" t="s">
        <v>268</v>
      </c>
      <c r="Q34" t="s">
        <v>269</v>
      </c>
      <c r="R34" s="4">
        <v>46041</v>
      </c>
      <c r="S34">
        <v>2026</v>
      </c>
      <c r="T34">
        <v>1</v>
      </c>
      <c r="U34" t="s">
        <v>274</v>
      </c>
    </row>
    <row r="35" spans="1:21" hidden="1" x14ac:dyDescent="0.35">
      <c r="A35" t="s">
        <v>167</v>
      </c>
      <c r="B35" t="s">
        <v>168</v>
      </c>
      <c r="C35" t="s">
        <v>33</v>
      </c>
      <c r="D35" t="s">
        <v>77</v>
      </c>
      <c r="E35" t="s">
        <v>35</v>
      </c>
      <c r="F35" s="3">
        <v>46179.125</v>
      </c>
      <c r="G35" s="3"/>
      <c r="H35" t="s">
        <v>20</v>
      </c>
      <c r="I35" t="s">
        <v>21</v>
      </c>
      <c r="J35" t="s">
        <v>30</v>
      </c>
      <c r="K35">
        <v>4</v>
      </c>
      <c r="L35">
        <v>24</v>
      </c>
      <c r="N35" t="s">
        <v>23</v>
      </c>
      <c r="O35" t="s">
        <v>53</v>
      </c>
      <c r="P35" t="s">
        <v>268</v>
      </c>
      <c r="Q35" t="s">
        <v>269</v>
      </c>
      <c r="R35" s="4">
        <v>46179</v>
      </c>
      <c r="S35">
        <v>2026</v>
      </c>
      <c r="T35">
        <v>6</v>
      </c>
      <c r="U35" t="s">
        <v>272</v>
      </c>
    </row>
    <row r="36" spans="1:21" hidden="1" x14ac:dyDescent="0.35">
      <c r="A36" t="s">
        <v>170</v>
      </c>
      <c r="B36" t="s">
        <v>131</v>
      </c>
      <c r="C36" t="s">
        <v>71</v>
      </c>
      <c r="D36" t="s">
        <v>18</v>
      </c>
      <c r="E36" t="s">
        <v>35</v>
      </c>
      <c r="F36" s="3">
        <v>46198.291666666664</v>
      </c>
      <c r="G36" s="3"/>
      <c r="H36" t="s">
        <v>36</v>
      </c>
      <c r="I36" t="s">
        <v>29</v>
      </c>
      <c r="J36" t="s">
        <v>30</v>
      </c>
      <c r="K36">
        <v>4</v>
      </c>
      <c r="L36">
        <v>48</v>
      </c>
      <c r="N36" t="s">
        <v>23</v>
      </c>
      <c r="O36" t="s">
        <v>47</v>
      </c>
      <c r="P36" t="s">
        <v>268</v>
      </c>
      <c r="Q36" t="s">
        <v>269</v>
      </c>
      <c r="R36" s="4">
        <v>46198</v>
      </c>
      <c r="S36">
        <v>2026</v>
      </c>
      <c r="T36">
        <v>6</v>
      </c>
      <c r="U36" t="s">
        <v>272</v>
      </c>
    </row>
    <row r="37" spans="1:21" hidden="1" x14ac:dyDescent="0.35">
      <c r="A37" t="s">
        <v>171</v>
      </c>
      <c r="B37" t="s">
        <v>172</v>
      </c>
      <c r="C37" t="s">
        <v>49</v>
      </c>
      <c r="D37" t="s">
        <v>34</v>
      </c>
      <c r="E37" t="s">
        <v>27</v>
      </c>
      <c r="F37" s="3">
        <v>46041.041666666664</v>
      </c>
      <c r="G37" s="3"/>
      <c r="H37" t="s">
        <v>20</v>
      </c>
      <c r="I37" t="s">
        <v>29</v>
      </c>
      <c r="J37" t="s">
        <v>52</v>
      </c>
      <c r="L37">
        <v>24</v>
      </c>
      <c r="N37" t="s">
        <v>23</v>
      </c>
      <c r="O37" t="s">
        <v>24</v>
      </c>
      <c r="P37" t="s">
        <v>268</v>
      </c>
      <c r="Q37" t="s">
        <v>269</v>
      </c>
      <c r="R37" s="4">
        <v>46041</v>
      </c>
      <c r="S37">
        <v>2026</v>
      </c>
      <c r="T37">
        <v>1</v>
      </c>
      <c r="U37" t="s">
        <v>274</v>
      </c>
    </row>
    <row r="38" spans="1:21" x14ac:dyDescent="0.35">
      <c r="A38" t="s">
        <v>174</v>
      </c>
      <c r="B38" t="s">
        <v>107</v>
      </c>
      <c r="C38" t="s">
        <v>42</v>
      </c>
      <c r="D38" t="s">
        <v>34</v>
      </c>
      <c r="E38" t="s">
        <v>27</v>
      </c>
      <c r="F38" s="3">
        <v>46087</v>
      </c>
      <c r="G38" s="3"/>
      <c r="H38" t="s">
        <v>60</v>
      </c>
      <c r="I38" t="s">
        <v>51</v>
      </c>
      <c r="J38" t="s">
        <v>22</v>
      </c>
      <c r="L38">
        <v>8</v>
      </c>
      <c r="N38" t="s">
        <v>38</v>
      </c>
      <c r="O38" t="s">
        <v>53</v>
      </c>
      <c r="P38" t="s">
        <v>276</v>
      </c>
      <c r="Q38" t="s">
        <v>277</v>
      </c>
      <c r="R38" s="4">
        <v>46087</v>
      </c>
      <c r="S38">
        <v>2026</v>
      </c>
      <c r="T38">
        <v>3</v>
      </c>
      <c r="U38" t="s">
        <v>270</v>
      </c>
    </row>
    <row r="39" spans="1:21" x14ac:dyDescent="0.35">
      <c r="A39" t="s">
        <v>182</v>
      </c>
      <c r="B39" t="s">
        <v>183</v>
      </c>
      <c r="C39" t="s">
        <v>71</v>
      </c>
      <c r="D39" t="s">
        <v>18</v>
      </c>
      <c r="E39" t="s">
        <v>50</v>
      </c>
      <c r="F39" s="3">
        <v>46054</v>
      </c>
      <c r="G39" s="3"/>
      <c r="H39" t="s">
        <v>20</v>
      </c>
      <c r="I39" t="s">
        <v>29</v>
      </c>
      <c r="J39" t="s">
        <v>30</v>
      </c>
      <c r="K39">
        <v>12</v>
      </c>
      <c r="L39">
        <v>24</v>
      </c>
      <c r="N39" t="s">
        <v>38</v>
      </c>
      <c r="O39" t="s">
        <v>39</v>
      </c>
      <c r="P39" t="s">
        <v>268</v>
      </c>
      <c r="Q39" t="s">
        <v>269</v>
      </c>
      <c r="R39" s="4">
        <v>46054</v>
      </c>
      <c r="S39">
        <v>2026</v>
      </c>
      <c r="T39">
        <v>2</v>
      </c>
      <c r="U39" t="s">
        <v>271</v>
      </c>
    </row>
    <row r="40" spans="1:21" hidden="1" x14ac:dyDescent="0.35">
      <c r="A40" t="s">
        <v>184</v>
      </c>
      <c r="B40" t="s">
        <v>81</v>
      </c>
      <c r="C40" t="s">
        <v>42</v>
      </c>
      <c r="D40" t="s">
        <v>18</v>
      </c>
      <c r="E40" t="s">
        <v>27</v>
      </c>
      <c r="F40" s="3">
        <v>46052.583333333336</v>
      </c>
      <c r="G40" s="3"/>
      <c r="H40" t="s">
        <v>60</v>
      </c>
      <c r="I40" t="s">
        <v>21</v>
      </c>
      <c r="J40" t="s">
        <v>30</v>
      </c>
      <c r="K40">
        <v>12</v>
      </c>
      <c r="L40">
        <v>8</v>
      </c>
      <c r="N40" t="s">
        <v>23</v>
      </c>
      <c r="O40" t="s">
        <v>47</v>
      </c>
      <c r="P40" t="s">
        <v>268</v>
      </c>
      <c r="Q40" t="s">
        <v>269</v>
      </c>
      <c r="R40" s="4">
        <v>46052</v>
      </c>
      <c r="S40">
        <v>2026</v>
      </c>
      <c r="T40">
        <v>1</v>
      </c>
      <c r="U40" t="s">
        <v>274</v>
      </c>
    </row>
    <row r="41" spans="1:21" hidden="1" x14ac:dyDescent="0.35">
      <c r="A41" t="s">
        <v>185</v>
      </c>
      <c r="B41" t="s">
        <v>138</v>
      </c>
      <c r="C41" t="s">
        <v>42</v>
      </c>
      <c r="D41" t="s">
        <v>18</v>
      </c>
      <c r="E41" t="s">
        <v>27</v>
      </c>
      <c r="F41" s="3">
        <v>46139.708333333336</v>
      </c>
      <c r="G41" s="3"/>
      <c r="H41" t="s">
        <v>20</v>
      </c>
      <c r="I41" t="s">
        <v>67</v>
      </c>
      <c r="J41" t="s">
        <v>30</v>
      </c>
      <c r="K41">
        <v>48</v>
      </c>
      <c r="L41">
        <v>24</v>
      </c>
      <c r="N41" t="s">
        <v>23</v>
      </c>
      <c r="O41" t="s">
        <v>24</v>
      </c>
      <c r="P41" t="s">
        <v>268</v>
      </c>
      <c r="Q41" t="s">
        <v>269</v>
      </c>
      <c r="R41" s="4">
        <v>46139</v>
      </c>
      <c r="S41">
        <v>2026</v>
      </c>
      <c r="T41">
        <v>4</v>
      </c>
      <c r="U41" t="s">
        <v>275</v>
      </c>
    </row>
    <row r="42" spans="1:21" hidden="1" x14ac:dyDescent="0.35">
      <c r="A42" t="s">
        <v>192</v>
      </c>
      <c r="B42" t="s">
        <v>193</v>
      </c>
      <c r="C42" t="s">
        <v>56</v>
      </c>
      <c r="D42" t="s">
        <v>18</v>
      </c>
      <c r="E42" t="s">
        <v>27</v>
      </c>
      <c r="F42" s="3">
        <v>46032.791666666664</v>
      </c>
      <c r="G42" s="3"/>
      <c r="H42" t="s">
        <v>60</v>
      </c>
      <c r="I42" t="s">
        <v>51</v>
      </c>
      <c r="J42" t="s">
        <v>52</v>
      </c>
      <c r="K42">
        <v>4</v>
      </c>
      <c r="L42">
        <v>8</v>
      </c>
      <c r="N42" t="s">
        <v>23</v>
      </c>
      <c r="O42" t="s">
        <v>39</v>
      </c>
      <c r="P42" t="s">
        <v>268</v>
      </c>
      <c r="Q42" t="s">
        <v>269</v>
      </c>
      <c r="R42" s="4">
        <v>46032</v>
      </c>
      <c r="S42">
        <v>2026</v>
      </c>
      <c r="T42">
        <v>1</v>
      </c>
      <c r="U42" t="s">
        <v>274</v>
      </c>
    </row>
    <row r="43" spans="1:21" hidden="1" x14ac:dyDescent="0.35">
      <c r="A43" t="s">
        <v>194</v>
      </c>
      <c r="B43" t="s">
        <v>152</v>
      </c>
      <c r="C43" t="s">
        <v>56</v>
      </c>
      <c r="D43" t="s">
        <v>18</v>
      </c>
      <c r="E43" t="s">
        <v>50</v>
      </c>
      <c r="F43" s="3">
        <v>46065.375</v>
      </c>
      <c r="G43" s="3"/>
      <c r="H43" t="s">
        <v>60</v>
      </c>
      <c r="I43" t="s">
        <v>29</v>
      </c>
      <c r="J43" t="s">
        <v>52</v>
      </c>
      <c r="K43">
        <v>12</v>
      </c>
      <c r="L43">
        <v>8</v>
      </c>
      <c r="N43" t="s">
        <v>23</v>
      </c>
      <c r="O43" t="s">
        <v>47</v>
      </c>
      <c r="P43" t="s">
        <v>268</v>
      </c>
      <c r="Q43" t="s">
        <v>269</v>
      </c>
      <c r="R43" s="4">
        <v>46065</v>
      </c>
      <c r="S43">
        <v>2026</v>
      </c>
      <c r="T43">
        <v>2</v>
      </c>
      <c r="U43" t="s">
        <v>271</v>
      </c>
    </row>
    <row r="44" spans="1:21" x14ac:dyDescent="0.35">
      <c r="A44" t="s">
        <v>195</v>
      </c>
      <c r="B44" t="s">
        <v>105</v>
      </c>
      <c r="C44" t="s">
        <v>42</v>
      </c>
      <c r="D44" t="s">
        <v>77</v>
      </c>
      <c r="E44" t="s">
        <v>27</v>
      </c>
      <c r="F44" s="3">
        <v>46158.541666666664</v>
      </c>
      <c r="G44" s="3"/>
      <c r="H44" t="s">
        <v>20</v>
      </c>
      <c r="I44" t="s">
        <v>21</v>
      </c>
      <c r="J44" t="s">
        <v>30</v>
      </c>
      <c r="K44">
        <v>6</v>
      </c>
      <c r="L44">
        <v>24</v>
      </c>
      <c r="N44" t="s">
        <v>38</v>
      </c>
      <c r="O44" t="s">
        <v>39</v>
      </c>
      <c r="P44" t="s">
        <v>268</v>
      </c>
      <c r="Q44" t="s">
        <v>269</v>
      </c>
      <c r="R44" s="4">
        <v>46158</v>
      </c>
      <c r="S44">
        <v>2026</v>
      </c>
      <c r="T44">
        <v>5</v>
      </c>
      <c r="U44" t="s">
        <v>273</v>
      </c>
    </row>
    <row r="45" spans="1:21" hidden="1" x14ac:dyDescent="0.35">
      <c r="A45" t="s">
        <v>197</v>
      </c>
      <c r="B45" t="s">
        <v>94</v>
      </c>
      <c r="C45" t="s">
        <v>42</v>
      </c>
      <c r="D45" t="s">
        <v>34</v>
      </c>
      <c r="E45" t="s">
        <v>27</v>
      </c>
      <c r="F45" s="3">
        <v>46063.083333333336</v>
      </c>
      <c r="G45" s="3"/>
      <c r="H45" t="s">
        <v>60</v>
      </c>
      <c r="I45" t="s">
        <v>37</v>
      </c>
      <c r="J45" t="s">
        <v>52</v>
      </c>
      <c r="K45">
        <v>12</v>
      </c>
      <c r="L45">
        <v>8</v>
      </c>
      <c r="N45" t="s">
        <v>23</v>
      </c>
      <c r="O45" t="s">
        <v>47</v>
      </c>
      <c r="P45" t="s">
        <v>268</v>
      </c>
      <c r="Q45" t="s">
        <v>269</v>
      </c>
      <c r="R45" s="4">
        <v>46063</v>
      </c>
      <c r="S45">
        <v>2026</v>
      </c>
      <c r="T45">
        <v>2</v>
      </c>
      <c r="U45" t="s">
        <v>271</v>
      </c>
    </row>
    <row r="46" spans="1:21" hidden="1" x14ac:dyDescent="0.35">
      <c r="A46" t="s">
        <v>198</v>
      </c>
      <c r="B46" t="s">
        <v>140</v>
      </c>
      <c r="C46" t="s">
        <v>71</v>
      </c>
      <c r="D46" t="s">
        <v>77</v>
      </c>
      <c r="E46" t="s">
        <v>50</v>
      </c>
      <c r="F46" s="3">
        <v>46146.125</v>
      </c>
      <c r="G46" s="3"/>
      <c r="H46" t="s">
        <v>20</v>
      </c>
      <c r="I46" t="s">
        <v>67</v>
      </c>
      <c r="J46" t="s">
        <v>52</v>
      </c>
      <c r="K46">
        <v>12</v>
      </c>
      <c r="L46">
        <v>24</v>
      </c>
      <c r="N46" t="s">
        <v>23</v>
      </c>
      <c r="O46" t="s">
        <v>24</v>
      </c>
      <c r="P46" t="s">
        <v>268</v>
      </c>
      <c r="Q46" t="s">
        <v>269</v>
      </c>
      <c r="R46" s="4">
        <v>46146</v>
      </c>
      <c r="S46">
        <v>2026</v>
      </c>
      <c r="T46">
        <v>5</v>
      </c>
      <c r="U46" t="s">
        <v>273</v>
      </c>
    </row>
    <row r="47" spans="1:21" hidden="1" x14ac:dyDescent="0.35">
      <c r="A47" t="s">
        <v>202</v>
      </c>
      <c r="B47" t="s">
        <v>191</v>
      </c>
      <c r="C47" t="s">
        <v>49</v>
      </c>
      <c r="D47" t="s">
        <v>18</v>
      </c>
      <c r="E47" t="s">
        <v>19</v>
      </c>
      <c r="F47" s="3">
        <v>46106.541666666664</v>
      </c>
      <c r="G47" s="3"/>
      <c r="H47" t="s">
        <v>20</v>
      </c>
      <c r="I47" t="s">
        <v>51</v>
      </c>
      <c r="J47" t="s">
        <v>30</v>
      </c>
      <c r="K47">
        <v>18</v>
      </c>
      <c r="L47">
        <v>24</v>
      </c>
      <c r="N47" t="s">
        <v>23</v>
      </c>
      <c r="O47" t="s">
        <v>24</v>
      </c>
      <c r="P47" t="s">
        <v>268</v>
      </c>
      <c r="Q47" t="s">
        <v>269</v>
      </c>
      <c r="R47" s="4">
        <v>46106</v>
      </c>
      <c r="S47">
        <v>2026</v>
      </c>
      <c r="T47">
        <v>3</v>
      </c>
      <c r="U47" t="s">
        <v>270</v>
      </c>
    </row>
    <row r="48" spans="1:21" x14ac:dyDescent="0.35">
      <c r="A48" t="s">
        <v>206</v>
      </c>
      <c r="B48" t="s">
        <v>99</v>
      </c>
      <c r="C48" t="s">
        <v>42</v>
      </c>
      <c r="D48" t="s">
        <v>34</v>
      </c>
      <c r="E48" t="s">
        <v>35</v>
      </c>
      <c r="F48" s="3">
        <v>46195.291666666664</v>
      </c>
      <c r="G48" s="3"/>
      <c r="H48" t="s">
        <v>60</v>
      </c>
      <c r="I48" t="s">
        <v>29</v>
      </c>
      <c r="J48" t="s">
        <v>52</v>
      </c>
      <c r="K48">
        <v>8</v>
      </c>
      <c r="L48">
        <v>8</v>
      </c>
      <c r="N48" t="s">
        <v>38</v>
      </c>
      <c r="O48" t="s">
        <v>24</v>
      </c>
      <c r="P48" t="s">
        <v>268</v>
      </c>
      <c r="Q48" t="s">
        <v>269</v>
      </c>
      <c r="R48" s="4">
        <v>46195</v>
      </c>
      <c r="S48">
        <v>2026</v>
      </c>
      <c r="T48">
        <v>6</v>
      </c>
      <c r="U48" t="s">
        <v>272</v>
      </c>
    </row>
    <row r="49" spans="1:21" x14ac:dyDescent="0.35">
      <c r="A49" t="s">
        <v>207</v>
      </c>
      <c r="B49" t="s">
        <v>16</v>
      </c>
      <c r="C49" t="s">
        <v>42</v>
      </c>
      <c r="D49" t="s">
        <v>34</v>
      </c>
      <c r="E49" t="s">
        <v>50</v>
      </c>
      <c r="F49" s="3">
        <v>46052.166666666664</v>
      </c>
      <c r="G49" s="3"/>
      <c r="H49" t="s">
        <v>60</v>
      </c>
      <c r="I49" t="s">
        <v>29</v>
      </c>
      <c r="J49" t="s">
        <v>52</v>
      </c>
      <c r="K49">
        <v>4</v>
      </c>
      <c r="L49">
        <v>8</v>
      </c>
      <c r="N49" t="s">
        <v>38</v>
      </c>
      <c r="O49" t="s">
        <v>47</v>
      </c>
      <c r="P49" t="s">
        <v>268</v>
      </c>
      <c r="Q49" t="s">
        <v>269</v>
      </c>
      <c r="R49" s="4">
        <v>46052</v>
      </c>
      <c r="S49">
        <v>2026</v>
      </c>
      <c r="T49">
        <v>1</v>
      </c>
      <c r="U49" t="s">
        <v>274</v>
      </c>
    </row>
    <row r="50" spans="1:21" hidden="1" x14ac:dyDescent="0.35">
      <c r="A50" t="s">
        <v>208</v>
      </c>
      <c r="B50" t="s">
        <v>79</v>
      </c>
      <c r="C50" t="s">
        <v>33</v>
      </c>
      <c r="D50" t="s">
        <v>77</v>
      </c>
      <c r="E50" t="s">
        <v>50</v>
      </c>
      <c r="F50" s="3">
        <v>46139.458333333336</v>
      </c>
      <c r="G50" s="3"/>
      <c r="H50" t="s">
        <v>20</v>
      </c>
      <c r="I50" t="s">
        <v>67</v>
      </c>
      <c r="J50" t="s">
        <v>30</v>
      </c>
      <c r="K50">
        <v>4</v>
      </c>
      <c r="L50">
        <v>24</v>
      </c>
      <c r="N50" t="s">
        <v>23</v>
      </c>
      <c r="O50" t="s">
        <v>47</v>
      </c>
      <c r="P50" t="s">
        <v>268</v>
      </c>
      <c r="Q50" t="s">
        <v>269</v>
      </c>
      <c r="R50" s="4">
        <v>46139</v>
      </c>
      <c r="S50">
        <v>2026</v>
      </c>
      <c r="T50">
        <v>4</v>
      </c>
      <c r="U50" t="s">
        <v>275</v>
      </c>
    </row>
    <row r="51" spans="1:21" hidden="1" x14ac:dyDescent="0.35">
      <c r="A51" t="s">
        <v>211</v>
      </c>
      <c r="B51" t="s">
        <v>92</v>
      </c>
      <c r="C51" t="s">
        <v>71</v>
      </c>
      <c r="D51" t="s">
        <v>77</v>
      </c>
      <c r="E51" t="s">
        <v>27</v>
      </c>
      <c r="F51" s="3">
        <v>46167.25</v>
      </c>
      <c r="G51" s="3"/>
      <c r="H51" t="s">
        <v>60</v>
      </c>
      <c r="I51" t="s">
        <v>29</v>
      </c>
      <c r="J51" t="s">
        <v>30</v>
      </c>
      <c r="K51">
        <v>8</v>
      </c>
      <c r="L51">
        <v>8</v>
      </c>
      <c r="N51" t="s">
        <v>23</v>
      </c>
      <c r="O51" t="s">
        <v>24</v>
      </c>
      <c r="P51" t="s">
        <v>268</v>
      </c>
      <c r="Q51" t="s">
        <v>269</v>
      </c>
      <c r="R51" s="4">
        <v>46167</v>
      </c>
      <c r="S51">
        <v>2026</v>
      </c>
      <c r="T51">
        <v>5</v>
      </c>
      <c r="U51" t="s">
        <v>273</v>
      </c>
    </row>
    <row r="52" spans="1:21" x14ac:dyDescent="0.35">
      <c r="A52" t="s">
        <v>212</v>
      </c>
      <c r="C52" t="s">
        <v>49</v>
      </c>
      <c r="D52" t="s">
        <v>77</v>
      </c>
      <c r="E52" t="s">
        <v>35</v>
      </c>
      <c r="F52" s="3">
        <v>46093.166666666664</v>
      </c>
      <c r="G52" s="3"/>
      <c r="H52" t="s">
        <v>20</v>
      </c>
      <c r="I52" t="s">
        <v>68</v>
      </c>
      <c r="J52" t="s">
        <v>52</v>
      </c>
      <c r="K52">
        <v>4</v>
      </c>
      <c r="L52">
        <v>24</v>
      </c>
      <c r="N52" t="s">
        <v>38</v>
      </c>
      <c r="O52" t="s">
        <v>39</v>
      </c>
      <c r="P52" t="s">
        <v>278</v>
      </c>
      <c r="Q52" t="s">
        <v>269</v>
      </c>
      <c r="R52" s="4">
        <v>46093</v>
      </c>
      <c r="S52">
        <v>2026</v>
      </c>
      <c r="T52">
        <v>3</v>
      </c>
      <c r="U52" t="s">
        <v>270</v>
      </c>
    </row>
    <row r="53" spans="1:21" hidden="1" x14ac:dyDescent="0.35">
      <c r="A53" t="s">
        <v>213</v>
      </c>
      <c r="B53" t="s">
        <v>214</v>
      </c>
      <c r="C53" t="s">
        <v>17</v>
      </c>
      <c r="D53" t="s">
        <v>34</v>
      </c>
      <c r="E53" t="s">
        <v>27</v>
      </c>
      <c r="F53" s="3">
        <v>46173.416666666664</v>
      </c>
      <c r="G53" s="3"/>
      <c r="H53" t="s">
        <v>60</v>
      </c>
      <c r="I53" t="s">
        <v>51</v>
      </c>
      <c r="J53" t="s">
        <v>52</v>
      </c>
      <c r="K53">
        <v>6</v>
      </c>
      <c r="L53">
        <v>8</v>
      </c>
      <c r="N53" t="s">
        <v>23</v>
      </c>
      <c r="O53" t="s">
        <v>47</v>
      </c>
      <c r="P53" t="s">
        <v>268</v>
      </c>
      <c r="Q53" t="s">
        <v>269</v>
      </c>
      <c r="R53" s="4">
        <v>46173</v>
      </c>
      <c r="S53">
        <v>2026</v>
      </c>
      <c r="T53">
        <v>5</v>
      </c>
      <c r="U53" t="s">
        <v>273</v>
      </c>
    </row>
    <row r="54" spans="1:21" x14ac:dyDescent="0.35">
      <c r="A54" t="s">
        <v>224</v>
      </c>
      <c r="B54" t="s">
        <v>58</v>
      </c>
      <c r="C54" t="s">
        <v>56</v>
      </c>
      <c r="D54" t="s">
        <v>34</v>
      </c>
      <c r="E54" t="s">
        <v>19</v>
      </c>
      <c r="F54" s="3">
        <v>46112</v>
      </c>
      <c r="G54" s="3"/>
      <c r="H54" t="s">
        <v>20</v>
      </c>
      <c r="I54" t="s">
        <v>29</v>
      </c>
      <c r="J54" t="s">
        <v>30</v>
      </c>
      <c r="K54">
        <v>24</v>
      </c>
      <c r="L54">
        <v>24</v>
      </c>
      <c r="N54" t="s">
        <v>38</v>
      </c>
      <c r="O54" t="s">
        <v>24</v>
      </c>
      <c r="P54" t="s">
        <v>268</v>
      </c>
      <c r="Q54" t="s">
        <v>269</v>
      </c>
      <c r="R54" s="4">
        <v>46112</v>
      </c>
      <c r="S54">
        <v>2026</v>
      </c>
      <c r="T54">
        <v>3</v>
      </c>
      <c r="U54" t="s">
        <v>270</v>
      </c>
    </row>
    <row r="55" spans="1:21" hidden="1" x14ac:dyDescent="0.35">
      <c r="A55" t="s">
        <v>228</v>
      </c>
      <c r="B55" t="s">
        <v>142</v>
      </c>
      <c r="C55" t="s">
        <v>33</v>
      </c>
      <c r="D55" t="s">
        <v>18</v>
      </c>
      <c r="E55" t="s">
        <v>50</v>
      </c>
      <c r="F55" s="3">
        <v>46092.25</v>
      </c>
      <c r="G55" s="3"/>
      <c r="H55" t="s">
        <v>20</v>
      </c>
      <c r="I55" t="s">
        <v>29</v>
      </c>
      <c r="J55" t="s">
        <v>52</v>
      </c>
      <c r="K55">
        <v>4</v>
      </c>
      <c r="L55">
        <v>24</v>
      </c>
      <c r="N55" t="s">
        <v>23</v>
      </c>
      <c r="O55" t="s">
        <v>47</v>
      </c>
      <c r="P55" t="s">
        <v>268</v>
      </c>
      <c r="Q55" t="s">
        <v>269</v>
      </c>
      <c r="R55" s="4">
        <v>46092</v>
      </c>
      <c r="S55">
        <v>2026</v>
      </c>
      <c r="T55">
        <v>3</v>
      </c>
      <c r="U55" t="s">
        <v>270</v>
      </c>
    </row>
    <row r="56" spans="1:21" x14ac:dyDescent="0.35">
      <c r="A56" t="s">
        <v>235</v>
      </c>
      <c r="B56" t="s">
        <v>88</v>
      </c>
      <c r="C56" t="s">
        <v>56</v>
      </c>
      <c r="D56" t="s">
        <v>77</v>
      </c>
      <c r="E56" t="s">
        <v>27</v>
      </c>
      <c r="F56" s="3">
        <v>46049.166666666664</v>
      </c>
      <c r="G56" s="3"/>
      <c r="H56" t="s">
        <v>36</v>
      </c>
      <c r="I56" t="s">
        <v>51</v>
      </c>
      <c r="J56" t="s">
        <v>30</v>
      </c>
      <c r="K56">
        <v>6</v>
      </c>
      <c r="L56">
        <v>48</v>
      </c>
      <c r="N56" t="s">
        <v>38</v>
      </c>
      <c r="O56" t="s">
        <v>24</v>
      </c>
      <c r="P56" t="s">
        <v>268</v>
      </c>
      <c r="Q56" t="s">
        <v>269</v>
      </c>
      <c r="R56" s="4">
        <v>46049</v>
      </c>
      <c r="S56">
        <v>2026</v>
      </c>
      <c r="T56">
        <v>1</v>
      </c>
      <c r="U56" t="s">
        <v>274</v>
      </c>
    </row>
    <row r="57" spans="1:21" hidden="1" x14ac:dyDescent="0.35">
      <c r="A57" t="s">
        <v>236</v>
      </c>
      <c r="B57" t="s">
        <v>120</v>
      </c>
      <c r="C57" t="s">
        <v>56</v>
      </c>
      <c r="D57" t="s">
        <v>18</v>
      </c>
      <c r="E57" t="s">
        <v>50</v>
      </c>
      <c r="F57" s="3">
        <v>46167.75</v>
      </c>
      <c r="G57" s="3"/>
      <c r="H57" t="s">
        <v>60</v>
      </c>
      <c r="I57" t="s">
        <v>21</v>
      </c>
      <c r="J57" t="s">
        <v>52</v>
      </c>
      <c r="K57">
        <v>6</v>
      </c>
      <c r="L57">
        <v>8</v>
      </c>
      <c r="N57" t="s">
        <v>23</v>
      </c>
      <c r="O57" t="s">
        <v>53</v>
      </c>
      <c r="P57" t="s">
        <v>268</v>
      </c>
      <c r="Q57" t="s">
        <v>269</v>
      </c>
      <c r="R57" s="4">
        <v>46167</v>
      </c>
      <c r="S57">
        <v>2026</v>
      </c>
      <c r="T57">
        <v>5</v>
      </c>
      <c r="U57" t="s">
        <v>273</v>
      </c>
    </row>
    <row r="58" spans="1:21" x14ac:dyDescent="0.35">
      <c r="A58" t="s">
        <v>239</v>
      </c>
      <c r="B58" t="s">
        <v>92</v>
      </c>
      <c r="C58" t="s">
        <v>71</v>
      </c>
      <c r="D58" t="s">
        <v>34</v>
      </c>
      <c r="E58" t="s">
        <v>35</v>
      </c>
      <c r="F58" s="3">
        <v>46188.083333333336</v>
      </c>
      <c r="G58" s="3"/>
      <c r="H58" t="s">
        <v>20</v>
      </c>
      <c r="I58" t="s">
        <v>68</v>
      </c>
      <c r="J58" t="s">
        <v>22</v>
      </c>
      <c r="L58">
        <v>24</v>
      </c>
      <c r="N58" t="s">
        <v>38</v>
      </c>
      <c r="O58" t="s">
        <v>47</v>
      </c>
      <c r="P58" t="s">
        <v>276</v>
      </c>
      <c r="Q58" t="s">
        <v>277</v>
      </c>
      <c r="R58" s="4">
        <v>46188</v>
      </c>
      <c r="S58">
        <v>2026</v>
      </c>
      <c r="T58">
        <v>6</v>
      </c>
      <c r="U58" t="s">
        <v>272</v>
      </c>
    </row>
    <row r="59" spans="1:21" hidden="1" x14ac:dyDescent="0.35">
      <c r="A59" t="s">
        <v>241</v>
      </c>
      <c r="B59" t="s">
        <v>131</v>
      </c>
      <c r="C59" t="s">
        <v>17</v>
      </c>
      <c r="D59" t="s">
        <v>77</v>
      </c>
      <c r="E59" t="s">
        <v>27</v>
      </c>
      <c r="F59" s="3">
        <v>46033.291666666664</v>
      </c>
      <c r="G59" s="3"/>
      <c r="H59" t="s">
        <v>60</v>
      </c>
      <c r="I59" t="s">
        <v>67</v>
      </c>
      <c r="J59" t="s">
        <v>30</v>
      </c>
      <c r="K59">
        <v>18</v>
      </c>
      <c r="L59">
        <v>8</v>
      </c>
      <c r="N59" t="s">
        <v>23</v>
      </c>
      <c r="O59" t="s">
        <v>53</v>
      </c>
      <c r="P59" t="s">
        <v>268</v>
      </c>
      <c r="Q59" t="s">
        <v>269</v>
      </c>
      <c r="R59" s="4">
        <v>46033</v>
      </c>
      <c r="S59">
        <v>2026</v>
      </c>
      <c r="T59">
        <v>1</v>
      </c>
      <c r="U59" t="s">
        <v>274</v>
      </c>
    </row>
    <row r="60" spans="1:21" hidden="1" x14ac:dyDescent="0.35">
      <c r="A60" t="s">
        <v>242</v>
      </c>
      <c r="B60" t="s">
        <v>116</v>
      </c>
      <c r="C60" t="s">
        <v>42</v>
      </c>
      <c r="D60" t="s">
        <v>34</v>
      </c>
      <c r="E60" t="s">
        <v>27</v>
      </c>
      <c r="F60" s="3">
        <v>46036.833333333336</v>
      </c>
      <c r="G60" s="3"/>
      <c r="H60" t="s">
        <v>36</v>
      </c>
      <c r="I60" t="s">
        <v>29</v>
      </c>
      <c r="J60" t="s">
        <v>52</v>
      </c>
      <c r="K60">
        <v>48</v>
      </c>
      <c r="L60">
        <v>48</v>
      </c>
      <c r="N60" t="s">
        <v>23</v>
      </c>
      <c r="O60" t="s">
        <v>47</v>
      </c>
      <c r="P60" t="s">
        <v>268</v>
      </c>
      <c r="Q60" t="s">
        <v>269</v>
      </c>
      <c r="R60" s="4">
        <v>46036</v>
      </c>
      <c r="S60">
        <v>2026</v>
      </c>
      <c r="T60">
        <v>1</v>
      </c>
      <c r="U60" t="s">
        <v>274</v>
      </c>
    </row>
    <row r="61" spans="1:21" hidden="1" x14ac:dyDescent="0.35">
      <c r="A61" t="s">
        <v>243</v>
      </c>
      <c r="B61" t="s">
        <v>244</v>
      </c>
      <c r="C61" t="s">
        <v>71</v>
      </c>
      <c r="D61" t="s">
        <v>77</v>
      </c>
      <c r="E61" t="s">
        <v>27</v>
      </c>
      <c r="F61" s="3">
        <v>46108.083333333336</v>
      </c>
      <c r="G61" s="3"/>
      <c r="H61" t="s">
        <v>20</v>
      </c>
      <c r="I61" t="s">
        <v>21</v>
      </c>
      <c r="J61" t="s">
        <v>30</v>
      </c>
      <c r="K61">
        <v>12</v>
      </c>
      <c r="L61">
        <v>24</v>
      </c>
      <c r="N61" t="s">
        <v>23</v>
      </c>
      <c r="O61" t="s">
        <v>53</v>
      </c>
      <c r="P61" t="s">
        <v>268</v>
      </c>
      <c r="Q61" t="s">
        <v>269</v>
      </c>
      <c r="R61" s="4">
        <v>46108</v>
      </c>
      <c r="S61">
        <v>2026</v>
      </c>
      <c r="T61">
        <v>3</v>
      </c>
      <c r="U61" t="s">
        <v>270</v>
      </c>
    </row>
    <row r="62" spans="1:21" hidden="1" x14ac:dyDescent="0.35">
      <c r="A62" t="s">
        <v>245</v>
      </c>
      <c r="B62" t="s">
        <v>214</v>
      </c>
      <c r="C62" t="s">
        <v>33</v>
      </c>
      <c r="D62" t="s">
        <v>18</v>
      </c>
      <c r="E62" t="s">
        <v>19</v>
      </c>
      <c r="F62" s="3">
        <v>46166.5</v>
      </c>
      <c r="G62" s="3"/>
      <c r="H62" t="s">
        <v>36</v>
      </c>
      <c r="I62" t="s">
        <v>29</v>
      </c>
      <c r="J62" t="s">
        <v>30</v>
      </c>
      <c r="K62">
        <v>4</v>
      </c>
      <c r="L62">
        <v>48</v>
      </c>
      <c r="N62" t="s">
        <v>23</v>
      </c>
      <c r="O62" t="s">
        <v>24</v>
      </c>
      <c r="P62" t="s">
        <v>268</v>
      </c>
      <c r="Q62" t="s">
        <v>269</v>
      </c>
      <c r="R62" s="4">
        <v>46166</v>
      </c>
      <c r="S62">
        <v>2026</v>
      </c>
      <c r="T62">
        <v>5</v>
      </c>
      <c r="U62" t="s">
        <v>273</v>
      </c>
    </row>
    <row r="63" spans="1:21" hidden="1" x14ac:dyDescent="0.35">
      <c r="A63" t="s">
        <v>247</v>
      </c>
      <c r="B63" t="s">
        <v>238</v>
      </c>
      <c r="C63" t="s">
        <v>71</v>
      </c>
      <c r="D63" t="s">
        <v>18</v>
      </c>
      <c r="E63" t="s">
        <v>27</v>
      </c>
      <c r="F63" s="3">
        <v>46161.666666666664</v>
      </c>
      <c r="G63" s="3"/>
      <c r="H63" t="s">
        <v>60</v>
      </c>
      <c r="I63" t="s">
        <v>21</v>
      </c>
      <c r="J63" t="s">
        <v>52</v>
      </c>
      <c r="K63">
        <v>6</v>
      </c>
      <c r="L63">
        <v>8</v>
      </c>
      <c r="N63" t="s">
        <v>23</v>
      </c>
      <c r="O63" t="s">
        <v>24</v>
      </c>
      <c r="P63" t="s">
        <v>268</v>
      </c>
      <c r="Q63" t="s">
        <v>269</v>
      </c>
      <c r="R63" s="4">
        <v>46161</v>
      </c>
      <c r="S63">
        <v>2026</v>
      </c>
      <c r="T63">
        <v>5</v>
      </c>
      <c r="U63" t="s">
        <v>273</v>
      </c>
    </row>
    <row r="64" spans="1:21" hidden="1" x14ac:dyDescent="0.35">
      <c r="A64" t="s">
        <v>248</v>
      </c>
      <c r="B64" t="s">
        <v>76</v>
      </c>
      <c r="C64" t="s">
        <v>49</v>
      </c>
      <c r="D64" t="s">
        <v>77</v>
      </c>
      <c r="E64" t="s">
        <v>27</v>
      </c>
      <c r="F64" s="3">
        <v>46065.583333333336</v>
      </c>
      <c r="G64" s="3"/>
      <c r="H64" t="s">
        <v>60</v>
      </c>
      <c r="I64" t="s">
        <v>67</v>
      </c>
      <c r="J64" t="s">
        <v>52</v>
      </c>
      <c r="K64">
        <v>30</v>
      </c>
      <c r="L64">
        <v>8</v>
      </c>
      <c r="N64" t="s">
        <v>23</v>
      </c>
      <c r="O64" t="s">
        <v>39</v>
      </c>
      <c r="P64" t="s">
        <v>268</v>
      </c>
      <c r="Q64" t="s">
        <v>269</v>
      </c>
      <c r="R64" s="4">
        <v>46065</v>
      </c>
      <c r="S64">
        <v>2026</v>
      </c>
      <c r="T64">
        <v>2</v>
      </c>
      <c r="U64" t="s">
        <v>271</v>
      </c>
    </row>
    <row r="65" spans="1:21" hidden="1" x14ac:dyDescent="0.35">
      <c r="A65" t="s">
        <v>250</v>
      </c>
      <c r="B65" t="s">
        <v>179</v>
      </c>
      <c r="C65" t="s">
        <v>71</v>
      </c>
      <c r="D65" t="s">
        <v>18</v>
      </c>
      <c r="E65" t="s">
        <v>27</v>
      </c>
      <c r="F65" s="3">
        <v>46158.541666666664</v>
      </c>
      <c r="G65" s="3"/>
      <c r="H65" t="s">
        <v>20</v>
      </c>
      <c r="I65" t="s">
        <v>29</v>
      </c>
      <c r="J65" t="s">
        <v>30</v>
      </c>
      <c r="K65">
        <v>6</v>
      </c>
      <c r="L65">
        <v>24</v>
      </c>
      <c r="N65" t="s">
        <v>23</v>
      </c>
      <c r="O65" t="s">
        <v>24</v>
      </c>
      <c r="P65" t="s">
        <v>268</v>
      </c>
      <c r="Q65" t="s">
        <v>269</v>
      </c>
      <c r="R65" s="4">
        <v>46158</v>
      </c>
      <c r="S65">
        <v>2026</v>
      </c>
      <c r="T65">
        <v>5</v>
      </c>
      <c r="U65" t="s">
        <v>273</v>
      </c>
    </row>
    <row r="66" spans="1:21" x14ac:dyDescent="0.35">
      <c r="A66" t="s">
        <v>253</v>
      </c>
      <c r="B66" t="s">
        <v>254</v>
      </c>
      <c r="C66" t="s">
        <v>49</v>
      </c>
      <c r="D66" t="s">
        <v>77</v>
      </c>
      <c r="E66" t="s">
        <v>35</v>
      </c>
      <c r="F66" s="3">
        <v>46096.625</v>
      </c>
      <c r="G66" s="3"/>
      <c r="H66" t="s">
        <v>20</v>
      </c>
      <c r="I66" t="s">
        <v>29</v>
      </c>
      <c r="J66" t="s">
        <v>22</v>
      </c>
      <c r="L66">
        <v>24</v>
      </c>
      <c r="N66" t="s">
        <v>38</v>
      </c>
      <c r="O66" t="s">
        <v>47</v>
      </c>
      <c r="P66" t="s">
        <v>276</v>
      </c>
      <c r="Q66" t="s">
        <v>277</v>
      </c>
      <c r="R66" s="4">
        <v>46096</v>
      </c>
      <c r="S66">
        <v>2026</v>
      </c>
      <c r="T66">
        <v>3</v>
      </c>
      <c r="U66" t="s">
        <v>270</v>
      </c>
    </row>
    <row r="67" spans="1:21" x14ac:dyDescent="0.35">
      <c r="A67" t="s">
        <v>256</v>
      </c>
      <c r="B67" t="s">
        <v>165</v>
      </c>
      <c r="C67" t="s">
        <v>17</v>
      </c>
      <c r="D67" t="s">
        <v>77</v>
      </c>
      <c r="E67" t="s">
        <v>50</v>
      </c>
      <c r="F67" s="3">
        <v>46186.791666666664</v>
      </c>
      <c r="G67" s="3"/>
      <c r="H67" t="s">
        <v>60</v>
      </c>
      <c r="I67" t="s">
        <v>68</v>
      </c>
      <c r="J67" t="s">
        <v>22</v>
      </c>
      <c r="L67">
        <v>8</v>
      </c>
      <c r="N67" t="s">
        <v>38</v>
      </c>
      <c r="O67" t="s">
        <v>47</v>
      </c>
      <c r="P67" t="s">
        <v>276</v>
      </c>
      <c r="Q67" t="s">
        <v>277</v>
      </c>
      <c r="R67" s="4">
        <v>46186</v>
      </c>
      <c r="S67">
        <v>2026</v>
      </c>
      <c r="T67">
        <v>6</v>
      </c>
      <c r="U67" t="s">
        <v>272</v>
      </c>
    </row>
    <row r="68" spans="1:21" hidden="1" x14ac:dyDescent="0.35">
      <c r="A68" t="s">
        <v>258</v>
      </c>
      <c r="B68" t="s">
        <v>16</v>
      </c>
      <c r="C68" t="s">
        <v>33</v>
      </c>
      <c r="D68" t="s">
        <v>77</v>
      </c>
      <c r="E68" t="s">
        <v>27</v>
      </c>
      <c r="F68" s="3">
        <v>46059.375</v>
      </c>
      <c r="G68" s="3"/>
      <c r="H68" t="s">
        <v>60</v>
      </c>
      <c r="I68" t="s">
        <v>29</v>
      </c>
      <c r="J68" t="s">
        <v>52</v>
      </c>
      <c r="L68">
        <v>8</v>
      </c>
      <c r="N68" t="s">
        <v>23</v>
      </c>
      <c r="O68" t="s">
        <v>39</v>
      </c>
      <c r="P68" t="s">
        <v>268</v>
      </c>
      <c r="Q68" t="s">
        <v>269</v>
      </c>
      <c r="R68" s="4">
        <v>46059</v>
      </c>
      <c r="S68">
        <v>2026</v>
      </c>
      <c r="T68">
        <v>2</v>
      </c>
      <c r="U68" t="s">
        <v>271</v>
      </c>
    </row>
    <row r="69" spans="1:21" hidden="1" x14ac:dyDescent="0.35">
      <c r="A69" t="s">
        <v>261</v>
      </c>
      <c r="B69" t="s">
        <v>88</v>
      </c>
      <c r="C69" t="s">
        <v>33</v>
      </c>
      <c r="D69" t="s">
        <v>34</v>
      </c>
      <c r="E69" t="s">
        <v>27</v>
      </c>
      <c r="F69" s="3">
        <v>46198.583333333336</v>
      </c>
      <c r="G69" s="3"/>
      <c r="H69" t="s">
        <v>60</v>
      </c>
      <c r="I69" t="s">
        <v>21</v>
      </c>
      <c r="J69" t="s">
        <v>30</v>
      </c>
      <c r="K69">
        <v>4</v>
      </c>
      <c r="L69">
        <v>8</v>
      </c>
      <c r="N69" t="s">
        <v>23</v>
      </c>
      <c r="O69" t="s">
        <v>39</v>
      </c>
      <c r="P69" t="s">
        <v>268</v>
      </c>
      <c r="Q69" t="s">
        <v>269</v>
      </c>
      <c r="R69" s="4">
        <v>46198</v>
      </c>
      <c r="S69">
        <v>2026</v>
      </c>
      <c r="T69">
        <v>6</v>
      </c>
      <c r="U69" t="s">
        <v>272</v>
      </c>
    </row>
    <row r="70" spans="1:21" x14ac:dyDescent="0.35">
      <c r="A70" t="s">
        <v>143</v>
      </c>
      <c r="B70" t="s">
        <v>144</v>
      </c>
      <c r="C70" t="s">
        <v>42</v>
      </c>
      <c r="D70" t="s">
        <v>77</v>
      </c>
      <c r="E70" t="s">
        <v>27</v>
      </c>
      <c r="F70" s="3">
        <v>46192</v>
      </c>
      <c r="G70" s="3">
        <v>46193.25</v>
      </c>
      <c r="H70" t="s">
        <v>60</v>
      </c>
      <c r="I70" t="s">
        <v>21</v>
      </c>
      <c r="J70" t="s">
        <v>22</v>
      </c>
      <c r="L70">
        <v>8</v>
      </c>
      <c r="M70">
        <v>2</v>
      </c>
      <c r="N70" t="s">
        <v>38</v>
      </c>
      <c r="O70" t="s">
        <v>39</v>
      </c>
      <c r="P70" t="s">
        <v>279</v>
      </c>
      <c r="Q70" t="s">
        <v>277</v>
      </c>
      <c r="R70" s="4">
        <v>46192</v>
      </c>
      <c r="S70">
        <v>2026</v>
      </c>
      <c r="T70">
        <v>6</v>
      </c>
      <c r="U70" t="s">
        <v>272</v>
      </c>
    </row>
    <row r="71" spans="1:21" hidden="1" x14ac:dyDescent="0.35">
      <c r="B71" t="s">
        <v>92</v>
      </c>
      <c r="C71" t="s">
        <v>56</v>
      </c>
      <c r="D71" t="s">
        <v>18</v>
      </c>
      <c r="E71" t="s">
        <v>19</v>
      </c>
      <c r="F71" s="3">
        <v>46164.125</v>
      </c>
      <c r="G71" s="3">
        <v>46164.291666666664</v>
      </c>
      <c r="H71" t="s">
        <v>20</v>
      </c>
      <c r="I71" t="s">
        <v>29</v>
      </c>
      <c r="J71" t="s">
        <v>22</v>
      </c>
      <c r="K71">
        <v>4</v>
      </c>
      <c r="L71">
        <v>24</v>
      </c>
      <c r="N71" t="s">
        <v>23</v>
      </c>
      <c r="O71" t="s">
        <v>53</v>
      </c>
      <c r="P71" t="s">
        <v>280</v>
      </c>
      <c r="Q71" t="s">
        <v>281</v>
      </c>
      <c r="R71" s="4">
        <v>46164</v>
      </c>
      <c r="S71">
        <v>2026</v>
      </c>
      <c r="T71">
        <v>5</v>
      </c>
      <c r="U71" t="s">
        <v>273</v>
      </c>
    </row>
    <row r="72" spans="1:21" hidden="1" x14ac:dyDescent="0.35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s="3">
        <v>46085.291666666664</v>
      </c>
      <c r="G72" s="3">
        <v>46085.458333333336</v>
      </c>
      <c r="H72" t="s">
        <v>20</v>
      </c>
      <c r="I72" t="s">
        <v>21</v>
      </c>
      <c r="J72" t="s">
        <v>22</v>
      </c>
      <c r="K72">
        <v>4</v>
      </c>
      <c r="L72">
        <v>24</v>
      </c>
      <c r="M72">
        <v>5</v>
      </c>
      <c r="N72" t="s">
        <v>23</v>
      </c>
      <c r="O72" t="s">
        <v>24</v>
      </c>
      <c r="P72" t="s">
        <v>268</v>
      </c>
      <c r="Q72" t="s">
        <v>281</v>
      </c>
      <c r="R72" s="4">
        <v>46085</v>
      </c>
      <c r="S72">
        <v>2026</v>
      </c>
      <c r="T72">
        <v>3</v>
      </c>
      <c r="U72" t="s">
        <v>270</v>
      </c>
    </row>
    <row r="73" spans="1:21" hidden="1" x14ac:dyDescent="0.35">
      <c r="A73" t="s">
        <v>40</v>
      </c>
      <c r="B73" t="s">
        <v>41</v>
      </c>
      <c r="C73" t="s">
        <v>42</v>
      </c>
      <c r="D73" t="s">
        <v>18</v>
      </c>
      <c r="E73" t="s">
        <v>19</v>
      </c>
      <c r="F73" s="3">
        <v>46111.791666666664</v>
      </c>
      <c r="G73" s="3">
        <v>46113.791666666664</v>
      </c>
      <c r="H73" t="s">
        <v>36</v>
      </c>
      <c r="I73" t="s">
        <v>29</v>
      </c>
      <c r="J73" t="s">
        <v>22</v>
      </c>
      <c r="K73">
        <v>48</v>
      </c>
      <c r="L73">
        <v>48</v>
      </c>
      <c r="M73">
        <v>1</v>
      </c>
      <c r="N73" t="s">
        <v>23</v>
      </c>
      <c r="O73" t="s">
        <v>47</v>
      </c>
      <c r="P73" t="s">
        <v>268</v>
      </c>
      <c r="Q73" t="s">
        <v>281</v>
      </c>
      <c r="R73" s="4">
        <v>46111</v>
      </c>
      <c r="S73">
        <v>2026</v>
      </c>
      <c r="T73">
        <v>3</v>
      </c>
      <c r="U73" t="s">
        <v>270</v>
      </c>
    </row>
    <row r="74" spans="1:21" hidden="1" x14ac:dyDescent="0.35">
      <c r="A74" t="s">
        <v>45</v>
      </c>
      <c r="B74" t="s">
        <v>41</v>
      </c>
      <c r="C74" t="s">
        <v>33</v>
      </c>
      <c r="D74" t="s">
        <v>34</v>
      </c>
      <c r="E74" t="s">
        <v>27</v>
      </c>
      <c r="F74" s="3">
        <v>46115.75</v>
      </c>
      <c r="G74" s="3">
        <v>46116.083333333336</v>
      </c>
      <c r="H74" t="s">
        <v>20</v>
      </c>
      <c r="I74" t="s">
        <v>21</v>
      </c>
      <c r="J74" t="s">
        <v>22</v>
      </c>
      <c r="K74">
        <v>8</v>
      </c>
      <c r="L74">
        <v>24</v>
      </c>
      <c r="N74" t="s">
        <v>23</v>
      </c>
      <c r="O74" t="s">
        <v>47</v>
      </c>
      <c r="P74" t="s">
        <v>268</v>
      </c>
      <c r="Q74" t="s">
        <v>281</v>
      </c>
      <c r="R74" s="4">
        <v>46115</v>
      </c>
      <c r="S74">
        <v>2026</v>
      </c>
      <c r="T74">
        <v>4</v>
      </c>
      <c r="U74" t="s">
        <v>275</v>
      </c>
    </row>
    <row r="75" spans="1:21" x14ac:dyDescent="0.35">
      <c r="A75" t="s">
        <v>57</v>
      </c>
      <c r="B75" t="s">
        <v>58</v>
      </c>
      <c r="C75" t="s">
        <v>56</v>
      </c>
      <c r="D75" t="s">
        <v>77</v>
      </c>
      <c r="E75" t="s">
        <v>27</v>
      </c>
      <c r="F75" s="3">
        <v>46198.416666666664</v>
      </c>
      <c r="G75" s="3">
        <v>46199.416666666664</v>
      </c>
      <c r="H75" t="s">
        <v>60</v>
      </c>
      <c r="I75" t="s">
        <v>51</v>
      </c>
      <c r="J75" t="s">
        <v>22</v>
      </c>
      <c r="K75">
        <v>24</v>
      </c>
      <c r="L75">
        <v>8</v>
      </c>
      <c r="M75">
        <v>3</v>
      </c>
      <c r="N75" t="s">
        <v>38</v>
      </c>
      <c r="O75" t="s">
        <v>53</v>
      </c>
      <c r="P75" t="s">
        <v>268</v>
      </c>
      <c r="Q75" t="s">
        <v>282</v>
      </c>
      <c r="R75" s="4">
        <v>46198</v>
      </c>
      <c r="S75">
        <v>2026</v>
      </c>
      <c r="T75">
        <v>6</v>
      </c>
      <c r="U75" t="s">
        <v>272</v>
      </c>
    </row>
    <row r="76" spans="1:21" hidden="1" x14ac:dyDescent="0.35">
      <c r="A76" t="s">
        <v>61</v>
      </c>
      <c r="B76" t="s">
        <v>62</v>
      </c>
      <c r="C76" t="s">
        <v>33</v>
      </c>
      <c r="D76" t="s">
        <v>34</v>
      </c>
      <c r="E76" t="s">
        <v>27</v>
      </c>
      <c r="F76" s="3">
        <v>46190.625</v>
      </c>
      <c r="G76" s="3">
        <v>46191.125</v>
      </c>
      <c r="H76" t="s">
        <v>60</v>
      </c>
      <c r="I76" t="s">
        <v>21</v>
      </c>
      <c r="J76" t="s">
        <v>22</v>
      </c>
      <c r="K76">
        <v>12</v>
      </c>
      <c r="L76">
        <v>8</v>
      </c>
      <c r="M76">
        <v>2</v>
      </c>
      <c r="N76" t="s">
        <v>23</v>
      </c>
      <c r="O76" t="s">
        <v>39</v>
      </c>
      <c r="P76" t="s">
        <v>268</v>
      </c>
      <c r="Q76" t="s">
        <v>282</v>
      </c>
      <c r="R76" s="4">
        <v>46190</v>
      </c>
      <c r="S76">
        <v>2026</v>
      </c>
      <c r="T76">
        <v>6</v>
      </c>
      <c r="U76" t="s">
        <v>272</v>
      </c>
    </row>
    <row r="77" spans="1:21" hidden="1" x14ac:dyDescent="0.35">
      <c r="A77" t="s">
        <v>65</v>
      </c>
      <c r="B77" t="s">
        <v>41</v>
      </c>
      <c r="C77" t="s">
        <v>17</v>
      </c>
      <c r="D77" t="s">
        <v>18</v>
      </c>
      <c r="E77" t="s">
        <v>27</v>
      </c>
      <c r="F77" s="3">
        <v>46183.208333333336</v>
      </c>
      <c r="G77" s="3">
        <v>46184.208333333336</v>
      </c>
      <c r="H77" t="s">
        <v>60</v>
      </c>
      <c r="I77" t="s">
        <v>68</v>
      </c>
      <c r="J77" t="s">
        <v>22</v>
      </c>
      <c r="K77">
        <v>24</v>
      </c>
      <c r="L77">
        <v>8</v>
      </c>
      <c r="M77">
        <v>5</v>
      </c>
      <c r="N77" t="s">
        <v>23</v>
      </c>
      <c r="O77" t="s">
        <v>47</v>
      </c>
      <c r="P77" t="s">
        <v>268</v>
      </c>
      <c r="Q77" t="s">
        <v>282</v>
      </c>
      <c r="R77" s="4">
        <v>46183</v>
      </c>
      <c r="S77">
        <v>2026</v>
      </c>
      <c r="T77">
        <v>6</v>
      </c>
      <c r="U77" t="s">
        <v>272</v>
      </c>
    </row>
    <row r="78" spans="1:21" hidden="1" x14ac:dyDescent="0.35">
      <c r="A78" t="s">
        <v>72</v>
      </c>
      <c r="B78" t="s">
        <v>73</v>
      </c>
      <c r="C78" t="s">
        <v>49</v>
      </c>
      <c r="D78" t="s">
        <v>18</v>
      </c>
      <c r="E78" t="s">
        <v>35</v>
      </c>
      <c r="F78" s="3">
        <v>46090.666666666664</v>
      </c>
      <c r="G78" s="3">
        <v>46092.666666666664</v>
      </c>
      <c r="H78" t="s">
        <v>20</v>
      </c>
      <c r="I78" t="s">
        <v>68</v>
      </c>
      <c r="J78" t="s">
        <v>22</v>
      </c>
      <c r="K78">
        <v>48</v>
      </c>
      <c r="L78">
        <v>24</v>
      </c>
      <c r="M78">
        <v>5</v>
      </c>
      <c r="N78" t="s">
        <v>23</v>
      </c>
      <c r="O78" t="s">
        <v>53</v>
      </c>
      <c r="P78" t="s">
        <v>268</v>
      </c>
      <c r="Q78" t="s">
        <v>282</v>
      </c>
      <c r="R78" s="4">
        <v>46090</v>
      </c>
      <c r="S78">
        <v>2026</v>
      </c>
      <c r="T78">
        <v>3</v>
      </c>
      <c r="U78" t="s">
        <v>270</v>
      </c>
    </row>
    <row r="79" spans="1:21" hidden="1" x14ac:dyDescent="0.35">
      <c r="A79" t="s">
        <v>75</v>
      </c>
      <c r="B79" t="s">
        <v>76</v>
      </c>
      <c r="C79" t="s">
        <v>71</v>
      </c>
      <c r="D79" t="s">
        <v>77</v>
      </c>
      <c r="E79" t="s">
        <v>27</v>
      </c>
      <c r="F79" s="3">
        <v>46158</v>
      </c>
      <c r="G79" s="3">
        <v>46158.166666666664</v>
      </c>
      <c r="H79" t="s">
        <v>20</v>
      </c>
      <c r="I79" t="s">
        <v>37</v>
      </c>
      <c r="J79" t="s">
        <v>22</v>
      </c>
      <c r="K79">
        <v>4</v>
      </c>
      <c r="L79">
        <v>24</v>
      </c>
      <c r="M79">
        <v>3</v>
      </c>
      <c r="N79" t="s">
        <v>23</v>
      </c>
      <c r="O79" t="s">
        <v>47</v>
      </c>
      <c r="P79" t="s">
        <v>268</v>
      </c>
      <c r="Q79" t="s">
        <v>281</v>
      </c>
      <c r="R79" s="4">
        <v>46158</v>
      </c>
      <c r="S79">
        <v>2026</v>
      </c>
      <c r="T79">
        <v>5</v>
      </c>
      <c r="U79" t="s">
        <v>273</v>
      </c>
    </row>
    <row r="80" spans="1:21" hidden="1" x14ac:dyDescent="0.35">
      <c r="A80" t="s">
        <v>78</v>
      </c>
      <c r="B80" t="s">
        <v>79</v>
      </c>
      <c r="C80" t="s">
        <v>17</v>
      </c>
      <c r="D80" t="s">
        <v>77</v>
      </c>
      <c r="E80" t="s">
        <v>27</v>
      </c>
      <c r="F80" s="3">
        <v>46043.083333333336</v>
      </c>
      <c r="G80" s="3">
        <v>46043.333333333336</v>
      </c>
      <c r="H80" t="s">
        <v>60</v>
      </c>
      <c r="I80" t="s">
        <v>29</v>
      </c>
      <c r="J80" t="s">
        <v>22</v>
      </c>
      <c r="K80">
        <v>6</v>
      </c>
      <c r="L80">
        <v>8</v>
      </c>
      <c r="M80">
        <v>2</v>
      </c>
      <c r="N80" t="s">
        <v>23</v>
      </c>
      <c r="O80" t="s">
        <v>24</v>
      </c>
      <c r="P80" t="s">
        <v>268</v>
      </c>
      <c r="Q80" t="s">
        <v>281</v>
      </c>
      <c r="R80" s="4">
        <v>46043</v>
      </c>
      <c r="S80">
        <v>2026</v>
      </c>
      <c r="T80">
        <v>1</v>
      </c>
      <c r="U80" t="s">
        <v>274</v>
      </c>
    </row>
    <row r="81" spans="1:21" hidden="1" x14ac:dyDescent="0.35">
      <c r="A81" t="s">
        <v>82</v>
      </c>
      <c r="B81" t="s">
        <v>32</v>
      </c>
      <c r="C81" t="s">
        <v>33</v>
      </c>
      <c r="D81" t="s">
        <v>18</v>
      </c>
      <c r="E81" t="s">
        <v>35</v>
      </c>
      <c r="F81" s="3">
        <v>46086.291666666664</v>
      </c>
      <c r="G81" s="3">
        <v>46088.291666666664</v>
      </c>
      <c r="H81" t="s">
        <v>60</v>
      </c>
      <c r="I81" t="s">
        <v>37</v>
      </c>
      <c r="J81" t="s">
        <v>22</v>
      </c>
      <c r="K81">
        <v>48</v>
      </c>
      <c r="L81">
        <v>8</v>
      </c>
      <c r="M81">
        <v>2</v>
      </c>
      <c r="N81" t="s">
        <v>23</v>
      </c>
      <c r="O81" t="s">
        <v>24</v>
      </c>
      <c r="P81" t="s">
        <v>268</v>
      </c>
      <c r="Q81" t="s">
        <v>282</v>
      </c>
      <c r="R81" s="4">
        <v>46086</v>
      </c>
      <c r="S81">
        <v>2026</v>
      </c>
      <c r="T81">
        <v>3</v>
      </c>
      <c r="U81" t="s">
        <v>270</v>
      </c>
    </row>
    <row r="82" spans="1:21" hidden="1" x14ac:dyDescent="0.35">
      <c r="A82" t="s">
        <v>85</v>
      </c>
      <c r="B82" t="s">
        <v>86</v>
      </c>
      <c r="C82" t="s">
        <v>49</v>
      </c>
      <c r="D82" t="s">
        <v>77</v>
      </c>
      <c r="E82" t="s">
        <v>27</v>
      </c>
      <c r="F82" s="3">
        <v>46144.291666666664</v>
      </c>
      <c r="G82" s="3">
        <v>46144.458333333336</v>
      </c>
      <c r="H82" t="s">
        <v>60</v>
      </c>
      <c r="I82" t="s">
        <v>29</v>
      </c>
      <c r="J82" t="s">
        <v>22</v>
      </c>
      <c r="K82">
        <v>4</v>
      </c>
      <c r="L82">
        <v>8</v>
      </c>
      <c r="M82">
        <v>1</v>
      </c>
      <c r="N82" t="s">
        <v>23</v>
      </c>
      <c r="O82" t="s">
        <v>39</v>
      </c>
      <c r="P82" t="s">
        <v>268</v>
      </c>
      <c r="Q82" t="s">
        <v>281</v>
      </c>
      <c r="R82" s="4">
        <v>46144</v>
      </c>
      <c r="S82">
        <v>2026</v>
      </c>
      <c r="T82">
        <v>5</v>
      </c>
      <c r="U82" t="s">
        <v>273</v>
      </c>
    </row>
    <row r="83" spans="1:21" hidden="1" x14ac:dyDescent="0.35">
      <c r="A83" t="s">
        <v>87</v>
      </c>
      <c r="B83" t="s">
        <v>88</v>
      </c>
      <c r="C83" t="s">
        <v>42</v>
      </c>
      <c r="D83" t="s">
        <v>18</v>
      </c>
      <c r="E83" t="s">
        <v>50</v>
      </c>
      <c r="F83" s="3">
        <v>46036.833333333336</v>
      </c>
      <c r="G83" s="3">
        <v>46037</v>
      </c>
      <c r="H83" t="s">
        <v>60</v>
      </c>
      <c r="I83" t="s">
        <v>29</v>
      </c>
      <c r="J83" t="s">
        <v>22</v>
      </c>
      <c r="K83">
        <v>4</v>
      </c>
      <c r="L83">
        <v>8</v>
      </c>
      <c r="M83">
        <v>2</v>
      </c>
      <c r="N83" t="s">
        <v>23</v>
      </c>
      <c r="O83" t="s">
        <v>53</v>
      </c>
      <c r="P83" t="s">
        <v>268</v>
      </c>
      <c r="Q83" t="s">
        <v>281</v>
      </c>
      <c r="R83" s="4">
        <v>46036</v>
      </c>
      <c r="S83">
        <v>2026</v>
      </c>
      <c r="T83">
        <v>1</v>
      </c>
      <c r="U83" t="s">
        <v>274</v>
      </c>
    </row>
    <row r="84" spans="1:21" hidden="1" x14ac:dyDescent="0.35">
      <c r="A84" t="s">
        <v>91</v>
      </c>
      <c r="B84" t="s">
        <v>92</v>
      </c>
      <c r="C84" t="s">
        <v>56</v>
      </c>
      <c r="D84" t="s">
        <v>77</v>
      </c>
      <c r="E84" t="s">
        <v>35</v>
      </c>
      <c r="F84" s="3">
        <v>46046.291666666664</v>
      </c>
      <c r="G84" s="3">
        <v>46046.625</v>
      </c>
      <c r="H84" t="s">
        <v>20</v>
      </c>
      <c r="I84" t="s">
        <v>67</v>
      </c>
      <c r="J84" t="s">
        <v>22</v>
      </c>
      <c r="K84">
        <v>8</v>
      </c>
      <c r="L84">
        <v>24</v>
      </c>
      <c r="N84" t="s">
        <v>23</v>
      </c>
      <c r="O84" t="s">
        <v>47</v>
      </c>
      <c r="P84" t="s">
        <v>268</v>
      </c>
      <c r="Q84" t="s">
        <v>281</v>
      </c>
      <c r="R84" s="4">
        <v>46046</v>
      </c>
      <c r="S84">
        <v>2026</v>
      </c>
      <c r="T84">
        <v>1</v>
      </c>
      <c r="U84" t="s">
        <v>274</v>
      </c>
    </row>
    <row r="85" spans="1:21" hidden="1" x14ac:dyDescent="0.35">
      <c r="A85" t="s">
        <v>93</v>
      </c>
      <c r="B85" t="s">
        <v>94</v>
      </c>
      <c r="C85" t="s">
        <v>17</v>
      </c>
      <c r="D85" t="s">
        <v>77</v>
      </c>
      <c r="E85" t="s">
        <v>50</v>
      </c>
      <c r="F85" s="3">
        <v>46023.5</v>
      </c>
      <c r="G85" s="3">
        <v>46024.5</v>
      </c>
      <c r="H85" t="s">
        <v>36</v>
      </c>
      <c r="I85" t="s">
        <v>29</v>
      </c>
      <c r="J85" t="s">
        <v>22</v>
      </c>
      <c r="K85">
        <v>24</v>
      </c>
      <c r="L85">
        <v>48</v>
      </c>
      <c r="N85" t="s">
        <v>23</v>
      </c>
      <c r="O85" t="s">
        <v>53</v>
      </c>
      <c r="P85" t="s">
        <v>268</v>
      </c>
      <c r="Q85" t="s">
        <v>281</v>
      </c>
      <c r="R85" s="4">
        <v>46023</v>
      </c>
      <c r="S85">
        <v>2026</v>
      </c>
      <c r="T85">
        <v>1</v>
      </c>
      <c r="U85" t="s">
        <v>274</v>
      </c>
    </row>
    <row r="86" spans="1:21" hidden="1" x14ac:dyDescent="0.35">
      <c r="A86" t="s">
        <v>96</v>
      </c>
      <c r="B86" t="s">
        <v>97</v>
      </c>
      <c r="C86" t="s">
        <v>33</v>
      </c>
      <c r="D86" t="s">
        <v>77</v>
      </c>
      <c r="E86" t="s">
        <v>35</v>
      </c>
      <c r="F86" s="3">
        <v>46153.083333333336</v>
      </c>
      <c r="G86" s="3">
        <v>46154.083333333336</v>
      </c>
      <c r="H86" t="s">
        <v>20</v>
      </c>
      <c r="I86" t="s">
        <v>29</v>
      </c>
      <c r="J86" t="s">
        <v>22</v>
      </c>
      <c r="K86">
        <v>24</v>
      </c>
      <c r="L86">
        <v>24</v>
      </c>
      <c r="M86">
        <v>1</v>
      </c>
      <c r="N86" t="s">
        <v>23</v>
      </c>
      <c r="O86" t="s">
        <v>39</v>
      </c>
      <c r="P86" t="s">
        <v>268</v>
      </c>
      <c r="Q86" t="s">
        <v>281</v>
      </c>
      <c r="R86" s="4">
        <v>46153</v>
      </c>
      <c r="S86">
        <v>2026</v>
      </c>
      <c r="T86">
        <v>5</v>
      </c>
      <c r="U86" t="s">
        <v>273</v>
      </c>
    </row>
    <row r="87" spans="1:21" x14ac:dyDescent="0.35">
      <c r="A87" t="s">
        <v>104</v>
      </c>
      <c r="B87" t="s">
        <v>105</v>
      </c>
      <c r="C87" t="s">
        <v>71</v>
      </c>
      <c r="D87" t="s">
        <v>77</v>
      </c>
      <c r="E87" t="s">
        <v>50</v>
      </c>
      <c r="F87" s="3">
        <v>46162.375</v>
      </c>
      <c r="G87" s="3">
        <v>46162.875</v>
      </c>
      <c r="H87" t="s">
        <v>20</v>
      </c>
      <c r="I87" t="s">
        <v>29</v>
      </c>
      <c r="J87" t="s">
        <v>22</v>
      </c>
      <c r="K87">
        <v>12</v>
      </c>
      <c r="L87">
        <v>24</v>
      </c>
      <c r="N87" t="s">
        <v>38</v>
      </c>
      <c r="O87" t="s">
        <v>24</v>
      </c>
      <c r="P87" t="s">
        <v>268</v>
      </c>
      <c r="Q87" t="s">
        <v>281</v>
      </c>
      <c r="R87" s="4">
        <v>46162</v>
      </c>
      <c r="S87">
        <v>2026</v>
      </c>
      <c r="T87">
        <v>5</v>
      </c>
      <c r="U87" t="s">
        <v>273</v>
      </c>
    </row>
    <row r="88" spans="1:21" hidden="1" x14ac:dyDescent="0.35">
      <c r="A88" t="s">
        <v>108</v>
      </c>
      <c r="B88" t="s">
        <v>62</v>
      </c>
      <c r="C88" t="s">
        <v>56</v>
      </c>
      <c r="D88" t="s">
        <v>34</v>
      </c>
      <c r="E88" t="s">
        <v>27</v>
      </c>
      <c r="F88" s="3">
        <v>46148.333333333336</v>
      </c>
      <c r="G88" s="3">
        <v>46148.416666666664</v>
      </c>
      <c r="H88" t="s">
        <v>60</v>
      </c>
      <c r="I88" t="s">
        <v>29</v>
      </c>
      <c r="J88" t="s">
        <v>22</v>
      </c>
      <c r="K88">
        <v>2</v>
      </c>
      <c r="L88">
        <v>8</v>
      </c>
      <c r="M88">
        <v>1</v>
      </c>
      <c r="N88" t="s">
        <v>23</v>
      </c>
      <c r="O88" t="s">
        <v>53</v>
      </c>
      <c r="P88" t="s">
        <v>268</v>
      </c>
      <c r="Q88" t="s">
        <v>281</v>
      </c>
      <c r="R88" s="4">
        <v>46148</v>
      </c>
      <c r="S88">
        <v>2026</v>
      </c>
      <c r="T88">
        <v>5</v>
      </c>
      <c r="U88" t="s">
        <v>273</v>
      </c>
    </row>
    <row r="89" spans="1:21" hidden="1" x14ac:dyDescent="0.35">
      <c r="A89" t="s">
        <v>109</v>
      </c>
      <c r="B89" t="s">
        <v>110</v>
      </c>
      <c r="C89" t="s">
        <v>49</v>
      </c>
      <c r="D89" t="s">
        <v>34</v>
      </c>
      <c r="E89" t="s">
        <v>27</v>
      </c>
      <c r="F89" s="3">
        <v>46136.708333333336</v>
      </c>
      <c r="G89" s="3">
        <v>46136.875</v>
      </c>
      <c r="H89" t="s">
        <v>60</v>
      </c>
      <c r="I89" t="s">
        <v>68</v>
      </c>
      <c r="J89" t="s">
        <v>22</v>
      </c>
      <c r="K89">
        <v>4</v>
      </c>
      <c r="L89">
        <v>8</v>
      </c>
      <c r="N89" t="s">
        <v>23</v>
      </c>
      <c r="O89" t="s">
        <v>47</v>
      </c>
      <c r="P89" t="s">
        <v>268</v>
      </c>
      <c r="Q89" t="s">
        <v>281</v>
      </c>
      <c r="R89" s="4">
        <v>46136</v>
      </c>
      <c r="S89">
        <v>2026</v>
      </c>
      <c r="T89">
        <v>4</v>
      </c>
      <c r="U89" t="s">
        <v>275</v>
      </c>
    </row>
    <row r="90" spans="1:21" x14ac:dyDescent="0.35">
      <c r="A90" t="s">
        <v>111</v>
      </c>
      <c r="B90" t="s">
        <v>86</v>
      </c>
      <c r="C90" t="s">
        <v>17</v>
      </c>
      <c r="D90" t="s">
        <v>34</v>
      </c>
      <c r="E90" t="s">
        <v>283</v>
      </c>
      <c r="F90" s="3">
        <v>46164.166666666664</v>
      </c>
      <c r="G90" s="3">
        <v>46164.916666666664</v>
      </c>
      <c r="H90" t="s">
        <v>60</v>
      </c>
      <c r="I90" t="s">
        <v>51</v>
      </c>
      <c r="J90" t="s">
        <v>22</v>
      </c>
      <c r="K90">
        <v>18</v>
      </c>
      <c r="L90">
        <v>8</v>
      </c>
      <c r="N90" t="s">
        <v>38</v>
      </c>
      <c r="O90" t="s">
        <v>53</v>
      </c>
      <c r="P90" t="s">
        <v>268</v>
      </c>
      <c r="Q90" t="s">
        <v>282</v>
      </c>
      <c r="R90" s="4">
        <v>46164</v>
      </c>
      <c r="S90">
        <v>2026</v>
      </c>
      <c r="T90">
        <v>5</v>
      </c>
      <c r="U90" t="s">
        <v>273</v>
      </c>
    </row>
    <row r="91" spans="1:21" hidden="1" x14ac:dyDescent="0.35">
      <c r="A91" t="s">
        <v>112</v>
      </c>
      <c r="B91" t="s">
        <v>94</v>
      </c>
      <c r="C91" t="s">
        <v>71</v>
      </c>
      <c r="D91" t="s">
        <v>77</v>
      </c>
      <c r="E91" t="s">
        <v>27</v>
      </c>
      <c r="F91" s="3">
        <v>46193.125</v>
      </c>
      <c r="G91" s="3">
        <v>46193.375</v>
      </c>
      <c r="H91" t="s">
        <v>36</v>
      </c>
      <c r="I91" t="s">
        <v>29</v>
      </c>
      <c r="J91" t="s">
        <v>22</v>
      </c>
      <c r="K91">
        <v>6</v>
      </c>
      <c r="L91">
        <v>48</v>
      </c>
      <c r="M91">
        <v>2</v>
      </c>
      <c r="N91" t="s">
        <v>23</v>
      </c>
      <c r="O91" t="s">
        <v>24</v>
      </c>
      <c r="P91" t="s">
        <v>268</v>
      </c>
      <c r="Q91" t="s">
        <v>281</v>
      </c>
      <c r="R91" s="4">
        <v>46193</v>
      </c>
      <c r="S91">
        <v>2026</v>
      </c>
      <c r="T91">
        <v>6</v>
      </c>
      <c r="U91" t="s">
        <v>272</v>
      </c>
    </row>
    <row r="92" spans="1:21" hidden="1" x14ac:dyDescent="0.35">
      <c r="A92" t="s">
        <v>128</v>
      </c>
      <c r="B92" t="s">
        <v>129</v>
      </c>
      <c r="C92" t="s">
        <v>49</v>
      </c>
      <c r="D92" t="s">
        <v>77</v>
      </c>
      <c r="E92" t="s">
        <v>35</v>
      </c>
      <c r="F92" s="3">
        <v>46034.291666666664</v>
      </c>
      <c r="G92" s="3">
        <v>46035.291666666664</v>
      </c>
      <c r="H92" t="s">
        <v>60</v>
      </c>
      <c r="I92" t="s">
        <v>68</v>
      </c>
      <c r="J92" t="s">
        <v>22</v>
      </c>
      <c r="K92">
        <v>24</v>
      </c>
      <c r="L92">
        <v>8</v>
      </c>
      <c r="N92" t="s">
        <v>23</v>
      </c>
      <c r="O92" t="s">
        <v>47</v>
      </c>
      <c r="P92" t="s">
        <v>268</v>
      </c>
      <c r="Q92" t="s">
        <v>282</v>
      </c>
      <c r="R92" s="4">
        <v>46034</v>
      </c>
      <c r="S92">
        <v>2026</v>
      </c>
      <c r="T92">
        <v>1</v>
      </c>
      <c r="U92" t="s">
        <v>274</v>
      </c>
    </row>
    <row r="93" spans="1:21" hidden="1" x14ac:dyDescent="0.35">
      <c r="A93" t="s">
        <v>130</v>
      </c>
      <c r="B93" t="s">
        <v>131</v>
      </c>
      <c r="C93" t="s">
        <v>56</v>
      </c>
      <c r="D93" t="s">
        <v>18</v>
      </c>
      <c r="E93" t="s">
        <v>50</v>
      </c>
      <c r="F93" s="3">
        <v>46125.291666666664</v>
      </c>
      <c r="G93" s="3">
        <v>46126.291666666664</v>
      </c>
      <c r="H93" t="s">
        <v>20</v>
      </c>
      <c r="I93" t="s">
        <v>21</v>
      </c>
      <c r="J93" t="s">
        <v>22</v>
      </c>
      <c r="K93">
        <v>24</v>
      </c>
      <c r="L93">
        <v>24</v>
      </c>
      <c r="M93">
        <v>2</v>
      </c>
      <c r="N93" t="s">
        <v>23</v>
      </c>
      <c r="O93" t="s">
        <v>47</v>
      </c>
      <c r="P93" t="s">
        <v>268</v>
      </c>
      <c r="Q93" t="s">
        <v>281</v>
      </c>
      <c r="R93" s="4">
        <v>46125</v>
      </c>
      <c r="S93">
        <v>2026</v>
      </c>
      <c r="T93">
        <v>4</v>
      </c>
      <c r="U93" t="s">
        <v>275</v>
      </c>
    </row>
    <row r="94" spans="1:21" hidden="1" x14ac:dyDescent="0.35">
      <c r="A94" t="s">
        <v>132</v>
      </c>
      <c r="B94" t="s">
        <v>114</v>
      </c>
      <c r="C94" t="s">
        <v>56</v>
      </c>
      <c r="D94" t="s">
        <v>77</v>
      </c>
      <c r="E94" t="s">
        <v>50</v>
      </c>
      <c r="F94" s="3">
        <v>46035.708333333336</v>
      </c>
      <c r="G94" s="3">
        <v>46035.958333333336</v>
      </c>
      <c r="H94" t="s">
        <v>20</v>
      </c>
      <c r="I94" t="s">
        <v>29</v>
      </c>
      <c r="J94" t="s">
        <v>22</v>
      </c>
      <c r="K94">
        <v>6</v>
      </c>
      <c r="L94">
        <v>24</v>
      </c>
      <c r="N94" t="s">
        <v>23</v>
      </c>
      <c r="O94" t="s">
        <v>47</v>
      </c>
      <c r="P94" t="s">
        <v>268</v>
      </c>
      <c r="Q94" t="s">
        <v>281</v>
      </c>
      <c r="R94" s="4">
        <v>46035</v>
      </c>
      <c r="S94">
        <v>2026</v>
      </c>
      <c r="T94">
        <v>1</v>
      </c>
      <c r="U94" t="s">
        <v>274</v>
      </c>
    </row>
    <row r="95" spans="1:21" hidden="1" x14ac:dyDescent="0.35">
      <c r="A95" t="s">
        <v>133</v>
      </c>
      <c r="B95" t="s">
        <v>123</v>
      </c>
      <c r="C95" t="s">
        <v>33</v>
      </c>
      <c r="D95" t="s">
        <v>77</v>
      </c>
      <c r="E95" t="s">
        <v>27</v>
      </c>
      <c r="F95" s="3">
        <v>46104.583333333336</v>
      </c>
      <c r="G95" s="3">
        <v>46105.833333333336</v>
      </c>
      <c r="H95" t="s">
        <v>20</v>
      </c>
      <c r="I95" t="s">
        <v>29</v>
      </c>
      <c r="J95" t="s">
        <v>22</v>
      </c>
      <c r="K95">
        <v>30</v>
      </c>
      <c r="L95">
        <v>24</v>
      </c>
      <c r="M95">
        <v>2</v>
      </c>
      <c r="N95" t="s">
        <v>23</v>
      </c>
      <c r="O95" t="s">
        <v>24</v>
      </c>
      <c r="P95" t="s">
        <v>268</v>
      </c>
      <c r="Q95" t="s">
        <v>282</v>
      </c>
      <c r="R95" s="4">
        <v>46104</v>
      </c>
      <c r="S95">
        <v>2026</v>
      </c>
      <c r="T95">
        <v>3</v>
      </c>
      <c r="U95" t="s">
        <v>270</v>
      </c>
    </row>
    <row r="96" spans="1:21" hidden="1" x14ac:dyDescent="0.35">
      <c r="A96" t="s">
        <v>134</v>
      </c>
      <c r="B96" t="s">
        <v>32</v>
      </c>
      <c r="C96" t="s">
        <v>71</v>
      </c>
      <c r="D96" t="s">
        <v>77</v>
      </c>
      <c r="E96" t="s">
        <v>19</v>
      </c>
      <c r="F96" s="3">
        <v>46156.625</v>
      </c>
      <c r="G96" s="3">
        <v>46157.125</v>
      </c>
      <c r="H96" t="s">
        <v>20</v>
      </c>
      <c r="I96" t="s">
        <v>37</v>
      </c>
      <c r="J96" t="s">
        <v>22</v>
      </c>
      <c r="K96">
        <v>12</v>
      </c>
      <c r="L96">
        <v>24</v>
      </c>
      <c r="M96">
        <v>2</v>
      </c>
      <c r="N96" t="s">
        <v>23</v>
      </c>
      <c r="O96" t="s">
        <v>47</v>
      </c>
      <c r="P96" t="s">
        <v>268</v>
      </c>
      <c r="Q96" t="s">
        <v>281</v>
      </c>
      <c r="R96" s="4">
        <v>46156</v>
      </c>
      <c r="S96">
        <v>2026</v>
      </c>
      <c r="T96">
        <v>5</v>
      </c>
      <c r="U96" t="s">
        <v>273</v>
      </c>
    </row>
    <row r="97" spans="1:21" hidden="1" x14ac:dyDescent="0.35">
      <c r="A97" t="s">
        <v>139</v>
      </c>
      <c r="B97" t="s">
        <v>140</v>
      </c>
      <c r="C97" t="s">
        <v>33</v>
      </c>
      <c r="D97" t="s">
        <v>18</v>
      </c>
      <c r="E97" t="s">
        <v>50</v>
      </c>
      <c r="F97" s="3">
        <v>46024.458333333336</v>
      </c>
      <c r="G97" s="3">
        <v>46026.458333333336</v>
      </c>
      <c r="H97" t="s">
        <v>36</v>
      </c>
      <c r="I97" t="s">
        <v>29</v>
      </c>
      <c r="J97" t="s">
        <v>22</v>
      </c>
      <c r="K97">
        <v>48</v>
      </c>
      <c r="L97">
        <v>48</v>
      </c>
      <c r="N97" t="s">
        <v>23</v>
      </c>
      <c r="O97" t="s">
        <v>47</v>
      </c>
      <c r="P97" t="s">
        <v>268</v>
      </c>
      <c r="Q97" t="s">
        <v>281</v>
      </c>
      <c r="R97" s="4">
        <v>46024</v>
      </c>
      <c r="S97">
        <v>2026</v>
      </c>
      <c r="T97">
        <v>1</v>
      </c>
      <c r="U97" t="s">
        <v>274</v>
      </c>
    </row>
    <row r="98" spans="1:21" x14ac:dyDescent="0.35">
      <c r="A98" t="s">
        <v>141</v>
      </c>
      <c r="B98" t="s">
        <v>142</v>
      </c>
      <c r="C98" t="s">
        <v>49</v>
      </c>
      <c r="D98" t="s">
        <v>34</v>
      </c>
      <c r="E98" t="s">
        <v>50</v>
      </c>
      <c r="F98" s="3">
        <v>46147</v>
      </c>
      <c r="G98" s="3">
        <v>46148.25</v>
      </c>
      <c r="H98" t="s">
        <v>60</v>
      </c>
      <c r="I98" t="s">
        <v>37</v>
      </c>
      <c r="J98" t="s">
        <v>22</v>
      </c>
      <c r="K98">
        <v>30</v>
      </c>
      <c r="L98">
        <v>8</v>
      </c>
      <c r="M98">
        <v>2</v>
      </c>
      <c r="N98" t="s">
        <v>38</v>
      </c>
      <c r="O98" t="s">
        <v>39</v>
      </c>
      <c r="P98" t="s">
        <v>268</v>
      </c>
      <c r="Q98" t="s">
        <v>282</v>
      </c>
      <c r="R98" s="4">
        <v>46147</v>
      </c>
      <c r="S98">
        <v>2026</v>
      </c>
      <c r="T98">
        <v>5</v>
      </c>
      <c r="U98" t="s">
        <v>273</v>
      </c>
    </row>
    <row r="99" spans="1:21" x14ac:dyDescent="0.35">
      <c r="A99" t="s">
        <v>145</v>
      </c>
      <c r="B99" t="s">
        <v>146</v>
      </c>
      <c r="C99" t="s">
        <v>42</v>
      </c>
      <c r="D99" t="s">
        <v>34</v>
      </c>
      <c r="E99" t="s">
        <v>27</v>
      </c>
      <c r="F99" s="3">
        <v>46139.416666666664</v>
      </c>
      <c r="G99" s="3">
        <v>46140.416666666664</v>
      </c>
      <c r="H99" t="s">
        <v>36</v>
      </c>
      <c r="I99" t="s">
        <v>29</v>
      </c>
      <c r="J99" t="s">
        <v>22</v>
      </c>
      <c r="K99">
        <v>24</v>
      </c>
      <c r="L99">
        <v>48</v>
      </c>
      <c r="M99">
        <v>3</v>
      </c>
      <c r="N99" t="s">
        <v>38</v>
      </c>
      <c r="O99" t="s">
        <v>53</v>
      </c>
      <c r="P99" t="s">
        <v>268</v>
      </c>
      <c r="Q99" t="s">
        <v>281</v>
      </c>
      <c r="R99" s="4">
        <v>46139</v>
      </c>
      <c r="S99">
        <v>2026</v>
      </c>
      <c r="T99">
        <v>4</v>
      </c>
      <c r="U99" t="s">
        <v>275</v>
      </c>
    </row>
    <row r="100" spans="1:21" x14ac:dyDescent="0.35">
      <c r="A100" t="s">
        <v>147</v>
      </c>
      <c r="B100" t="s">
        <v>148</v>
      </c>
      <c r="C100" t="s">
        <v>17</v>
      </c>
      <c r="D100" t="s">
        <v>77</v>
      </c>
      <c r="E100" t="s">
        <v>35</v>
      </c>
      <c r="F100" s="3">
        <v>46112.291666666664</v>
      </c>
      <c r="G100" s="3">
        <v>46112.625</v>
      </c>
      <c r="H100" t="s">
        <v>60</v>
      </c>
      <c r="I100" t="s">
        <v>29</v>
      </c>
      <c r="J100" t="s">
        <v>22</v>
      </c>
      <c r="K100">
        <v>8</v>
      </c>
      <c r="L100">
        <v>8</v>
      </c>
      <c r="M100">
        <v>2</v>
      </c>
      <c r="N100" t="s">
        <v>38</v>
      </c>
      <c r="O100" t="s">
        <v>47</v>
      </c>
      <c r="P100" t="s">
        <v>268</v>
      </c>
      <c r="Q100" t="s">
        <v>281</v>
      </c>
      <c r="R100" s="4">
        <v>46112</v>
      </c>
      <c r="S100">
        <v>2026</v>
      </c>
      <c r="T100">
        <v>3</v>
      </c>
      <c r="U100" t="s">
        <v>270</v>
      </c>
    </row>
    <row r="101" spans="1:21" x14ac:dyDescent="0.35">
      <c r="A101" t="s">
        <v>149</v>
      </c>
      <c r="B101" t="s">
        <v>103</v>
      </c>
      <c r="C101" t="s">
        <v>49</v>
      </c>
      <c r="D101" t="s">
        <v>77</v>
      </c>
      <c r="E101" t="s">
        <v>27</v>
      </c>
      <c r="F101" s="3">
        <v>46144.125</v>
      </c>
      <c r="G101" s="3">
        <v>46144.875</v>
      </c>
      <c r="H101" t="s">
        <v>20</v>
      </c>
      <c r="I101" t="s">
        <v>51</v>
      </c>
      <c r="J101" t="s">
        <v>22</v>
      </c>
      <c r="K101">
        <v>18</v>
      </c>
      <c r="L101">
        <v>24</v>
      </c>
      <c r="M101">
        <v>2</v>
      </c>
      <c r="N101" t="s">
        <v>38</v>
      </c>
      <c r="O101" t="s">
        <v>53</v>
      </c>
      <c r="P101" t="s">
        <v>268</v>
      </c>
      <c r="Q101" t="s">
        <v>281</v>
      </c>
      <c r="R101" s="4">
        <v>46144</v>
      </c>
      <c r="S101">
        <v>2026</v>
      </c>
      <c r="T101">
        <v>5</v>
      </c>
      <c r="U101" t="s">
        <v>273</v>
      </c>
    </row>
    <row r="102" spans="1:21" hidden="1" x14ac:dyDescent="0.35">
      <c r="A102" t="s">
        <v>150</v>
      </c>
      <c r="B102" t="s">
        <v>110</v>
      </c>
      <c r="C102" t="s">
        <v>49</v>
      </c>
      <c r="D102" t="s">
        <v>34</v>
      </c>
      <c r="E102" t="s">
        <v>35</v>
      </c>
      <c r="F102" s="3">
        <v>46171</v>
      </c>
      <c r="G102" s="3">
        <v>46171.333333333336</v>
      </c>
      <c r="H102" t="s">
        <v>36</v>
      </c>
      <c r="I102" t="s">
        <v>68</v>
      </c>
      <c r="J102" t="s">
        <v>22</v>
      </c>
      <c r="K102">
        <v>8</v>
      </c>
      <c r="L102">
        <v>48</v>
      </c>
      <c r="M102">
        <v>1</v>
      </c>
      <c r="N102" t="s">
        <v>23</v>
      </c>
      <c r="O102" t="s">
        <v>47</v>
      </c>
      <c r="P102" t="s">
        <v>268</v>
      </c>
      <c r="Q102" t="s">
        <v>281</v>
      </c>
      <c r="R102" s="4">
        <v>46171</v>
      </c>
      <c r="S102">
        <v>2026</v>
      </c>
      <c r="T102">
        <v>5</v>
      </c>
      <c r="U102" t="s">
        <v>273</v>
      </c>
    </row>
    <row r="103" spans="1:21" hidden="1" x14ac:dyDescent="0.35">
      <c r="A103" t="s">
        <v>151</v>
      </c>
      <c r="B103" t="s">
        <v>152</v>
      </c>
      <c r="C103" t="s">
        <v>56</v>
      </c>
      <c r="D103" t="s">
        <v>34</v>
      </c>
      <c r="E103" t="s">
        <v>27</v>
      </c>
      <c r="F103" s="3">
        <v>46053.75</v>
      </c>
      <c r="G103" s="3">
        <v>46053.916666666664</v>
      </c>
      <c r="H103" t="s">
        <v>60</v>
      </c>
      <c r="I103" t="s">
        <v>37</v>
      </c>
      <c r="J103" t="s">
        <v>22</v>
      </c>
      <c r="K103">
        <v>4</v>
      </c>
      <c r="L103">
        <v>8</v>
      </c>
      <c r="M103">
        <v>5</v>
      </c>
      <c r="N103" t="s">
        <v>23</v>
      </c>
      <c r="O103" t="s">
        <v>53</v>
      </c>
      <c r="P103" t="s">
        <v>268</v>
      </c>
      <c r="Q103" t="s">
        <v>281</v>
      </c>
      <c r="R103" s="4">
        <v>46053</v>
      </c>
      <c r="S103">
        <v>2026</v>
      </c>
      <c r="T103">
        <v>1</v>
      </c>
      <c r="U103" t="s">
        <v>274</v>
      </c>
    </row>
    <row r="104" spans="1:21" hidden="1" x14ac:dyDescent="0.35">
      <c r="A104" t="s">
        <v>155</v>
      </c>
      <c r="B104" t="s">
        <v>79</v>
      </c>
      <c r="C104" t="s">
        <v>42</v>
      </c>
      <c r="D104" t="s">
        <v>77</v>
      </c>
      <c r="E104" t="s">
        <v>27</v>
      </c>
      <c r="F104" s="3">
        <v>46194.5</v>
      </c>
      <c r="G104" s="3">
        <v>46194.75</v>
      </c>
      <c r="H104" t="s">
        <v>36</v>
      </c>
      <c r="I104" t="s">
        <v>29</v>
      </c>
      <c r="J104" t="s">
        <v>22</v>
      </c>
      <c r="K104">
        <v>6</v>
      </c>
      <c r="L104">
        <v>48</v>
      </c>
      <c r="M104">
        <v>4</v>
      </c>
      <c r="N104" t="s">
        <v>23</v>
      </c>
      <c r="O104" t="s">
        <v>53</v>
      </c>
      <c r="P104" t="s">
        <v>268</v>
      </c>
      <c r="Q104" t="s">
        <v>281</v>
      </c>
      <c r="R104" s="4">
        <v>46194</v>
      </c>
      <c r="S104">
        <v>2026</v>
      </c>
      <c r="T104">
        <v>6</v>
      </c>
      <c r="U104" t="s">
        <v>272</v>
      </c>
    </row>
    <row r="105" spans="1:21" hidden="1" x14ac:dyDescent="0.35">
      <c r="A105" t="s">
        <v>157</v>
      </c>
      <c r="B105" t="s">
        <v>142</v>
      </c>
      <c r="C105" t="s">
        <v>33</v>
      </c>
      <c r="D105" t="s">
        <v>77</v>
      </c>
      <c r="E105" t="s">
        <v>50</v>
      </c>
      <c r="F105" s="3">
        <v>46188.625</v>
      </c>
      <c r="G105" s="3">
        <v>46189.125</v>
      </c>
      <c r="H105" t="s">
        <v>60</v>
      </c>
      <c r="I105" t="s">
        <v>29</v>
      </c>
      <c r="J105" t="s">
        <v>22</v>
      </c>
      <c r="K105">
        <v>12</v>
      </c>
      <c r="L105">
        <v>8</v>
      </c>
      <c r="M105">
        <v>2</v>
      </c>
      <c r="N105" t="s">
        <v>23</v>
      </c>
      <c r="O105" t="s">
        <v>47</v>
      </c>
      <c r="P105" t="s">
        <v>268</v>
      </c>
      <c r="Q105" t="s">
        <v>282</v>
      </c>
      <c r="R105" s="4">
        <v>46188</v>
      </c>
      <c r="S105">
        <v>2026</v>
      </c>
      <c r="T105">
        <v>6</v>
      </c>
      <c r="U105" t="s">
        <v>272</v>
      </c>
    </row>
    <row r="106" spans="1:21" hidden="1" x14ac:dyDescent="0.35">
      <c r="A106" t="s">
        <v>160</v>
      </c>
      <c r="B106" t="s">
        <v>90</v>
      </c>
      <c r="C106" t="s">
        <v>49</v>
      </c>
      <c r="D106" t="s">
        <v>18</v>
      </c>
      <c r="E106" t="s">
        <v>19</v>
      </c>
      <c r="F106" s="3">
        <v>46173.666666666664</v>
      </c>
      <c r="G106" s="3">
        <v>46174.166666666664</v>
      </c>
      <c r="H106" t="s">
        <v>20</v>
      </c>
      <c r="I106" t="s">
        <v>37</v>
      </c>
      <c r="J106" t="s">
        <v>22</v>
      </c>
      <c r="K106">
        <v>12</v>
      </c>
      <c r="L106">
        <v>24</v>
      </c>
      <c r="M106">
        <v>2</v>
      </c>
      <c r="N106" t="s">
        <v>23</v>
      </c>
      <c r="O106" t="s">
        <v>39</v>
      </c>
      <c r="P106" t="s">
        <v>268</v>
      </c>
      <c r="Q106" t="s">
        <v>281</v>
      </c>
      <c r="R106" s="4">
        <v>46173</v>
      </c>
      <c r="S106">
        <v>2026</v>
      </c>
      <c r="T106">
        <v>5</v>
      </c>
      <c r="U106" t="s">
        <v>273</v>
      </c>
    </row>
    <row r="107" spans="1:21" hidden="1" x14ac:dyDescent="0.35">
      <c r="A107" t="s">
        <v>166</v>
      </c>
      <c r="B107" t="s">
        <v>79</v>
      </c>
      <c r="C107" t="s">
        <v>17</v>
      </c>
      <c r="D107" t="s">
        <v>77</v>
      </c>
      <c r="E107" t="s">
        <v>50</v>
      </c>
      <c r="F107" s="3">
        <v>46178.791666666664</v>
      </c>
      <c r="G107" s="3">
        <v>46180.041666666664</v>
      </c>
      <c r="H107" t="s">
        <v>20</v>
      </c>
      <c r="I107" t="s">
        <v>51</v>
      </c>
      <c r="J107" t="s">
        <v>22</v>
      </c>
      <c r="K107">
        <v>30</v>
      </c>
      <c r="L107">
        <v>24</v>
      </c>
      <c r="M107">
        <v>3</v>
      </c>
      <c r="N107" t="s">
        <v>23</v>
      </c>
      <c r="O107" t="s">
        <v>47</v>
      </c>
      <c r="P107" t="s">
        <v>268</v>
      </c>
      <c r="Q107" t="s">
        <v>282</v>
      </c>
      <c r="R107" s="4">
        <v>46178</v>
      </c>
      <c r="S107">
        <v>2026</v>
      </c>
      <c r="T107">
        <v>6</v>
      </c>
      <c r="U107" t="s">
        <v>272</v>
      </c>
    </row>
    <row r="108" spans="1:21" hidden="1" x14ac:dyDescent="0.35">
      <c r="A108" t="s">
        <v>169</v>
      </c>
      <c r="B108" t="s">
        <v>79</v>
      </c>
      <c r="C108" t="s">
        <v>49</v>
      </c>
      <c r="D108" t="s">
        <v>77</v>
      </c>
      <c r="E108" t="s">
        <v>35</v>
      </c>
      <c r="F108" s="3">
        <v>46063</v>
      </c>
      <c r="G108" s="3">
        <v>46063.083333333336</v>
      </c>
      <c r="H108" t="s">
        <v>60</v>
      </c>
      <c r="I108" t="s">
        <v>67</v>
      </c>
      <c r="J108" t="s">
        <v>22</v>
      </c>
      <c r="K108">
        <v>2</v>
      </c>
      <c r="L108">
        <v>8</v>
      </c>
      <c r="M108">
        <v>2</v>
      </c>
      <c r="N108" t="s">
        <v>23</v>
      </c>
      <c r="O108" t="s">
        <v>53</v>
      </c>
      <c r="P108" t="s">
        <v>268</v>
      </c>
      <c r="Q108" t="s">
        <v>281</v>
      </c>
      <c r="R108" s="4">
        <v>46063</v>
      </c>
      <c r="S108">
        <v>2026</v>
      </c>
      <c r="T108">
        <v>2</v>
      </c>
      <c r="U108" t="s">
        <v>271</v>
      </c>
    </row>
    <row r="109" spans="1:21" x14ac:dyDescent="0.35">
      <c r="A109" t="s">
        <v>173</v>
      </c>
      <c r="B109" t="s">
        <v>32</v>
      </c>
      <c r="C109" t="s">
        <v>17</v>
      </c>
      <c r="D109" t="s">
        <v>18</v>
      </c>
      <c r="E109" t="s">
        <v>19</v>
      </c>
      <c r="F109" s="3">
        <v>46202.5</v>
      </c>
      <c r="G109" s="3">
        <v>46202.666666666664</v>
      </c>
      <c r="H109" t="s">
        <v>36</v>
      </c>
      <c r="I109" t="s">
        <v>68</v>
      </c>
      <c r="J109" t="s">
        <v>22</v>
      </c>
      <c r="K109">
        <v>4</v>
      </c>
      <c r="L109">
        <v>48</v>
      </c>
      <c r="M109">
        <v>5</v>
      </c>
      <c r="N109" t="s">
        <v>38</v>
      </c>
      <c r="O109" t="s">
        <v>47</v>
      </c>
      <c r="P109" t="s">
        <v>268</v>
      </c>
      <c r="Q109" t="s">
        <v>281</v>
      </c>
      <c r="R109" s="4">
        <v>46202</v>
      </c>
      <c r="S109">
        <v>2026</v>
      </c>
      <c r="T109">
        <v>6</v>
      </c>
      <c r="U109" t="s">
        <v>272</v>
      </c>
    </row>
    <row r="110" spans="1:21" hidden="1" x14ac:dyDescent="0.35">
      <c r="A110" t="s">
        <v>175</v>
      </c>
      <c r="B110" t="s">
        <v>176</v>
      </c>
      <c r="C110" t="s">
        <v>49</v>
      </c>
      <c r="D110" t="s">
        <v>18</v>
      </c>
      <c r="E110" t="s">
        <v>27</v>
      </c>
      <c r="F110" s="3">
        <v>46189.583333333336</v>
      </c>
      <c r="G110" s="3">
        <v>46189.75</v>
      </c>
      <c r="H110" t="s">
        <v>36</v>
      </c>
      <c r="I110" t="s">
        <v>51</v>
      </c>
      <c r="J110" t="s">
        <v>22</v>
      </c>
      <c r="K110">
        <v>4</v>
      </c>
      <c r="L110">
        <v>48</v>
      </c>
      <c r="M110">
        <v>4</v>
      </c>
      <c r="N110" t="s">
        <v>23</v>
      </c>
      <c r="O110" t="s">
        <v>47</v>
      </c>
      <c r="P110" t="s">
        <v>268</v>
      </c>
      <c r="Q110" t="s">
        <v>281</v>
      </c>
      <c r="R110" s="4">
        <v>46189</v>
      </c>
      <c r="S110">
        <v>2026</v>
      </c>
      <c r="T110">
        <v>6</v>
      </c>
      <c r="U110" t="s">
        <v>272</v>
      </c>
    </row>
    <row r="111" spans="1:21" x14ac:dyDescent="0.35">
      <c r="A111" t="s">
        <v>177</v>
      </c>
      <c r="B111" t="s">
        <v>138</v>
      </c>
      <c r="C111" t="s">
        <v>71</v>
      </c>
      <c r="D111" t="s">
        <v>34</v>
      </c>
      <c r="E111" t="s">
        <v>35</v>
      </c>
      <c r="F111" s="3">
        <v>46064.416666666664</v>
      </c>
      <c r="G111" s="3">
        <v>46065.416666666664</v>
      </c>
      <c r="H111" t="s">
        <v>60</v>
      </c>
      <c r="I111" t="s">
        <v>21</v>
      </c>
      <c r="J111" t="s">
        <v>22</v>
      </c>
      <c r="K111">
        <v>24</v>
      </c>
      <c r="L111">
        <v>8</v>
      </c>
      <c r="N111" t="s">
        <v>38</v>
      </c>
      <c r="O111" t="s">
        <v>53</v>
      </c>
      <c r="P111" t="s">
        <v>268</v>
      </c>
      <c r="Q111" t="s">
        <v>282</v>
      </c>
      <c r="R111" s="4">
        <v>46064</v>
      </c>
      <c r="S111">
        <v>2026</v>
      </c>
      <c r="T111">
        <v>2</v>
      </c>
      <c r="U111" t="s">
        <v>271</v>
      </c>
    </row>
    <row r="112" spans="1:21" x14ac:dyDescent="0.35">
      <c r="A112" t="s">
        <v>178</v>
      </c>
      <c r="B112" t="s">
        <v>179</v>
      </c>
      <c r="C112" t="s">
        <v>17</v>
      </c>
      <c r="D112" t="s">
        <v>34</v>
      </c>
      <c r="E112" t="s">
        <v>19</v>
      </c>
      <c r="F112" s="3">
        <v>46105.125</v>
      </c>
      <c r="G112" s="3">
        <v>46106.375</v>
      </c>
      <c r="H112" t="s">
        <v>60</v>
      </c>
      <c r="I112" t="s">
        <v>29</v>
      </c>
      <c r="J112" t="s">
        <v>22</v>
      </c>
      <c r="K112">
        <v>30</v>
      </c>
      <c r="L112">
        <v>8</v>
      </c>
      <c r="M112">
        <v>4</v>
      </c>
      <c r="N112" t="s">
        <v>38</v>
      </c>
      <c r="O112" t="s">
        <v>24</v>
      </c>
      <c r="P112" t="s">
        <v>268</v>
      </c>
      <c r="Q112" t="s">
        <v>282</v>
      </c>
      <c r="R112" s="4">
        <v>46105</v>
      </c>
      <c r="S112">
        <v>2026</v>
      </c>
      <c r="T112">
        <v>3</v>
      </c>
      <c r="U112" t="s">
        <v>270</v>
      </c>
    </row>
    <row r="113" spans="1:21" hidden="1" x14ac:dyDescent="0.35">
      <c r="A113" t="s">
        <v>181</v>
      </c>
      <c r="B113" t="s">
        <v>90</v>
      </c>
      <c r="C113" t="s">
        <v>33</v>
      </c>
      <c r="D113" t="s">
        <v>34</v>
      </c>
      <c r="E113" t="s">
        <v>27</v>
      </c>
      <c r="F113" s="3">
        <v>46150.833333333336</v>
      </c>
      <c r="G113" s="3">
        <v>46151.333333333336</v>
      </c>
      <c r="H113" t="s">
        <v>60</v>
      </c>
      <c r="I113" t="s">
        <v>29</v>
      </c>
      <c r="J113" t="s">
        <v>22</v>
      </c>
      <c r="K113">
        <v>12</v>
      </c>
      <c r="L113">
        <v>8</v>
      </c>
      <c r="M113">
        <v>5</v>
      </c>
      <c r="N113" t="s">
        <v>23</v>
      </c>
      <c r="O113" t="s">
        <v>39</v>
      </c>
      <c r="P113" t="s">
        <v>268</v>
      </c>
      <c r="Q113" t="s">
        <v>282</v>
      </c>
      <c r="R113" s="4">
        <v>46150</v>
      </c>
      <c r="S113">
        <v>2026</v>
      </c>
      <c r="T113">
        <v>5</v>
      </c>
      <c r="U113" t="s">
        <v>273</v>
      </c>
    </row>
    <row r="114" spans="1:21" hidden="1" x14ac:dyDescent="0.35">
      <c r="A114" t="s">
        <v>186</v>
      </c>
      <c r="B114" t="s">
        <v>163</v>
      </c>
      <c r="C114" t="s">
        <v>17</v>
      </c>
      <c r="D114" t="s">
        <v>34</v>
      </c>
      <c r="E114" t="s">
        <v>50</v>
      </c>
      <c r="F114" s="3">
        <v>46110.666666666664</v>
      </c>
      <c r="G114" s="3">
        <v>46111.166666666664</v>
      </c>
      <c r="H114" t="s">
        <v>36</v>
      </c>
      <c r="I114" t="s">
        <v>29</v>
      </c>
      <c r="J114" t="s">
        <v>22</v>
      </c>
      <c r="K114">
        <v>12</v>
      </c>
      <c r="L114">
        <v>48</v>
      </c>
      <c r="N114" t="s">
        <v>23</v>
      </c>
      <c r="O114" t="s">
        <v>53</v>
      </c>
      <c r="P114" t="s">
        <v>268</v>
      </c>
      <c r="Q114" t="s">
        <v>281</v>
      </c>
      <c r="R114" s="4">
        <v>46110</v>
      </c>
      <c r="S114">
        <v>2026</v>
      </c>
      <c r="T114">
        <v>3</v>
      </c>
      <c r="U114" t="s">
        <v>270</v>
      </c>
    </row>
    <row r="115" spans="1:21" hidden="1" x14ac:dyDescent="0.35">
      <c r="A115" t="s">
        <v>187</v>
      </c>
      <c r="B115" t="s">
        <v>163</v>
      </c>
      <c r="C115" t="s">
        <v>49</v>
      </c>
      <c r="D115" t="s">
        <v>18</v>
      </c>
      <c r="E115" t="s">
        <v>27</v>
      </c>
      <c r="F115" s="3">
        <v>46146.458333333336</v>
      </c>
      <c r="G115" s="3">
        <v>46147.208333333336</v>
      </c>
      <c r="H115" t="s">
        <v>36</v>
      </c>
      <c r="I115" t="s">
        <v>68</v>
      </c>
      <c r="J115" t="s">
        <v>22</v>
      </c>
      <c r="K115">
        <v>18</v>
      </c>
      <c r="L115">
        <v>48</v>
      </c>
      <c r="N115" t="s">
        <v>23</v>
      </c>
      <c r="O115" t="s">
        <v>47</v>
      </c>
      <c r="P115" t="s">
        <v>268</v>
      </c>
      <c r="Q115" t="s">
        <v>281</v>
      </c>
      <c r="R115" s="4">
        <v>46146</v>
      </c>
      <c r="S115">
        <v>2026</v>
      </c>
      <c r="T115">
        <v>5</v>
      </c>
      <c r="U115" t="s">
        <v>273</v>
      </c>
    </row>
    <row r="116" spans="1:21" hidden="1" x14ac:dyDescent="0.35">
      <c r="A116" t="s">
        <v>188</v>
      </c>
      <c r="B116" t="s">
        <v>55</v>
      </c>
      <c r="C116" t="s">
        <v>49</v>
      </c>
      <c r="D116" t="s">
        <v>77</v>
      </c>
      <c r="E116" t="s">
        <v>50</v>
      </c>
      <c r="F116" s="3">
        <v>46082.541666666664</v>
      </c>
      <c r="G116" s="3">
        <v>46083.541666666664</v>
      </c>
      <c r="H116" t="s">
        <v>60</v>
      </c>
      <c r="I116" t="s">
        <v>37</v>
      </c>
      <c r="J116" t="s">
        <v>22</v>
      </c>
      <c r="K116">
        <v>24</v>
      </c>
      <c r="L116">
        <v>8</v>
      </c>
      <c r="N116" t="s">
        <v>23</v>
      </c>
      <c r="O116" t="s">
        <v>47</v>
      </c>
      <c r="P116" t="s">
        <v>268</v>
      </c>
      <c r="Q116" t="s">
        <v>282</v>
      </c>
      <c r="R116" s="4">
        <v>46082</v>
      </c>
      <c r="S116">
        <v>2026</v>
      </c>
      <c r="T116">
        <v>3</v>
      </c>
      <c r="U116" t="s">
        <v>270</v>
      </c>
    </row>
    <row r="117" spans="1:21" x14ac:dyDescent="0.35">
      <c r="A117" t="s">
        <v>189</v>
      </c>
      <c r="B117" t="s">
        <v>142</v>
      </c>
      <c r="C117" t="s">
        <v>17</v>
      </c>
      <c r="D117" t="s">
        <v>77</v>
      </c>
      <c r="E117" t="s">
        <v>27</v>
      </c>
      <c r="F117" s="3">
        <v>46174.416666666664</v>
      </c>
      <c r="G117" s="3">
        <v>46176.416666666664</v>
      </c>
      <c r="H117" t="s">
        <v>60</v>
      </c>
      <c r="I117" t="s">
        <v>29</v>
      </c>
      <c r="J117" t="s">
        <v>22</v>
      </c>
      <c r="K117">
        <v>48</v>
      </c>
      <c r="L117">
        <v>8</v>
      </c>
      <c r="M117">
        <v>4</v>
      </c>
      <c r="N117" t="s">
        <v>38</v>
      </c>
      <c r="O117" t="s">
        <v>47</v>
      </c>
      <c r="P117" t="s">
        <v>268</v>
      </c>
      <c r="Q117" t="s">
        <v>282</v>
      </c>
      <c r="R117" s="4">
        <v>46174</v>
      </c>
      <c r="S117">
        <v>2026</v>
      </c>
      <c r="T117">
        <v>6</v>
      </c>
      <c r="U117" t="s">
        <v>272</v>
      </c>
    </row>
    <row r="118" spans="1:21" hidden="1" x14ac:dyDescent="0.35">
      <c r="A118" t="s">
        <v>190</v>
      </c>
      <c r="B118" t="s">
        <v>191</v>
      </c>
      <c r="C118" t="s">
        <v>49</v>
      </c>
      <c r="D118" t="s">
        <v>18</v>
      </c>
      <c r="E118" t="s">
        <v>27</v>
      </c>
      <c r="F118" s="3">
        <v>46042.625</v>
      </c>
      <c r="G118" s="3">
        <v>46043.375</v>
      </c>
      <c r="H118" t="s">
        <v>36</v>
      </c>
      <c r="I118" t="s">
        <v>37</v>
      </c>
      <c r="J118" t="s">
        <v>22</v>
      </c>
      <c r="K118">
        <v>18</v>
      </c>
      <c r="L118">
        <v>48</v>
      </c>
      <c r="N118" t="s">
        <v>23</v>
      </c>
      <c r="O118" t="s">
        <v>47</v>
      </c>
      <c r="P118" t="s">
        <v>268</v>
      </c>
      <c r="Q118" t="s">
        <v>281</v>
      </c>
      <c r="R118" s="4">
        <v>46042</v>
      </c>
      <c r="S118">
        <v>2026</v>
      </c>
      <c r="T118">
        <v>1</v>
      </c>
      <c r="U118" t="s">
        <v>274</v>
      </c>
    </row>
    <row r="119" spans="1:21" x14ac:dyDescent="0.35">
      <c r="A119" t="s">
        <v>196</v>
      </c>
      <c r="B119" t="s">
        <v>103</v>
      </c>
      <c r="C119" t="s">
        <v>42</v>
      </c>
      <c r="D119" t="s">
        <v>77</v>
      </c>
      <c r="E119" t="s">
        <v>27</v>
      </c>
      <c r="F119" s="3">
        <v>46150.75</v>
      </c>
      <c r="G119" s="3">
        <v>46152</v>
      </c>
      <c r="H119" t="s">
        <v>20</v>
      </c>
      <c r="I119" t="s">
        <v>51</v>
      </c>
      <c r="J119" t="s">
        <v>22</v>
      </c>
      <c r="K119">
        <v>30</v>
      </c>
      <c r="L119">
        <v>24</v>
      </c>
      <c r="M119">
        <v>3</v>
      </c>
      <c r="N119" t="s">
        <v>38</v>
      </c>
      <c r="O119" t="s">
        <v>283</v>
      </c>
      <c r="P119" t="s">
        <v>268</v>
      </c>
      <c r="Q119" t="s">
        <v>282</v>
      </c>
      <c r="R119" s="4">
        <v>46150</v>
      </c>
      <c r="S119">
        <v>2026</v>
      </c>
      <c r="T119">
        <v>5</v>
      </c>
      <c r="U119" t="s">
        <v>273</v>
      </c>
    </row>
    <row r="120" spans="1:21" hidden="1" x14ac:dyDescent="0.35">
      <c r="A120" t="s">
        <v>199</v>
      </c>
      <c r="B120" t="s">
        <v>200</v>
      </c>
      <c r="C120" t="s">
        <v>56</v>
      </c>
      <c r="D120" t="s">
        <v>18</v>
      </c>
      <c r="E120" t="s">
        <v>19</v>
      </c>
      <c r="F120" s="3">
        <v>46025.75</v>
      </c>
      <c r="G120" s="3">
        <v>46026.083333333336</v>
      </c>
      <c r="H120" t="s">
        <v>60</v>
      </c>
      <c r="I120" t="s">
        <v>68</v>
      </c>
      <c r="J120" t="s">
        <v>22</v>
      </c>
      <c r="K120">
        <v>8</v>
      </c>
      <c r="L120">
        <v>8</v>
      </c>
      <c r="M120">
        <v>5</v>
      </c>
      <c r="N120" t="s">
        <v>23</v>
      </c>
      <c r="O120" t="s">
        <v>53</v>
      </c>
      <c r="P120" t="s">
        <v>268</v>
      </c>
      <c r="Q120" t="s">
        <v>281</v>
      </c>
      <c r="R120" s="4">
        <v>46025</v>
      </c>
      <c r="S120">
        <v>2026</v>
      </c>
      <c r="T120">
        <v>1</v>
      </c>
      <c r="U120" t="s">
        <v>274</v>
      </c>
    </row>
    <row r="121" spans="1:21" hidden="1" x14ac:dyDescent="0.35">
      <c r="A121" t="s">
        <v>201</v>
      </c>
      <c r="B121" t="s">
        <v>129</v>
      </c>
      <c r="C121" t="s">
        <v>56</v>
      </c>
      <c r="D121" t="s">
        <v>77</v>
      </c>
      <c r="E121" t="s">
        <v>27</v>
      </c>
      <c r="F121" s="3">
        <v>46087.166666666664</v>
      </c>
      <c r="G121" s="3">
        <v>46088.416666666664</v>
      </c>
      <c r="H121" t="s">
        <v>60</v>
      </c>
      <c r="I121" t="s">
        <v>21</v>
      </c>
      <c r="J121" t="s">
        <v>22</v>
      </c>
      <c r="K121">
        <v>30</v>
      </c>
      <c r="L121">
        <v>8</v>
      </c>
      <c r="M121">
        <v>1</v>
      </c>
      <c r="N121" t="s">
        <v>23</v>
      </c>
      <c r="O121" t="s">
        <v>53</v>
      </c>
      <c r="P121" t="s">
        <v>268</v>
      </c>
      <c r="Q121" t="s">
        <v>282</v>
      </c>
      <c r="R121" s="4">
        <v>46087</v>
      </c>
      <c r="S121">
        <v>2026</v>
      </c>
      <c r="T121">
        <v>3</v>
      </c>
      <c r="U121" t="s">
        <v>270</v>
      </c>
    </row>
    <row r="122" spans="1:21" hidden="1" x14ac:dyDescent="0.35">
      <c r="A122" t="s">
        <v>203</v>
      </c>
      <c r="B122" t="s">
        <v>204</v>
      </c>
      <c r="C122" t="s">
        <v>49</v>
      </c>
      <c r="D122" t="s">
        <v>34</v>
      </c>
      <c r="E122" t="s">
        <v>50</v>
      </c>
      <c r="F122" s="3">
        <v>46098.416666666664</v>
      </c>
      <c r="G122" s="3">
        <v>46098.75</v>
      </c>
      <c r="H122" t="s">
        <v>60</v>
      </c>
      <c r="I122" t="s">
        <v>67</v>
      </c>
      <c r="J122" t="s">
        <v>22</v>
      </c>
      <c r="K122">
        <v>8</v>
      </c>
      <c r="L122">
        <v>8</v>
      </c>
      <c r="N122" t="s">
        <v>23</v>
      </c>
      <c r="O122" t="s">
        <v>39</v>
      </c>
      <c r="P122" t="s">
        <v>268</v>
      </c>
      <c r="Q122" t="s">
        <v>281</v>
      </c>
      <c r="R122" s="4">
        <v>46098</v>
      </c>
      <c r="S122">
        <v>2026</v>
      </c>
      <c r="T122">
        <v>3</v>
      </c>
      <c r="U122" t="s">
        <v>270</v>
      </c>
    </row>
    <row r="123" spans="1:21" hidden="1" x14ac:dyDescent="0.35">
      <c r="A123" t="s">
        <v>205</v>
      </c>
      <c r="B123" t="s">
        <v>140</v>
      </c>
      <c r="C123" t="s">
        <v>33</v>
      </c>
      <c r="D123" t="s">
        <v>34</v>
      </c>
      <c r="E123" t="s">
        <v>35</v>
      </c>
      <c r="F123" s="3">
        <v>46124</v>
      </c>
      <c r="G123" s="3">
        <v>46124.75</v>
      </c>
      <c r="H123" t="s">
        <v>36</v>
      </c>
      <c r="I123" t="s">
        <v>68</v>
      </c>
      <c r="J123" t="s">
        <v>22</v>
      </c>
      <c r="K123">
        <v>18</v>
      </c>
      <c r="L123">
        <v>48</v>
      </c>
      <c r="N123" t="s">
        <v>23</v>
      </c>
      <c r="O123" t="s">
        <v>47</v>
      </c>
      <c r="P123" t="s">
        <v>268</v>
      </c>
      <c r="Q123" t="s">
        <v>281</v>
      </c>
      <c r="R123" s="4">
        <v>46124</v>
      </c>
      <c r="S123">
        <v>2026</v>
      </c>
      <c r="T123">
        <v>4</v>
      </c>
      <c r="U123" t="s">
        <v>275</v>
      </c>
    </row>
    <row r="124" spans="1:21" hidden="1" x14ac:dyDescent="0.35">
      <c r="A124" t="s">
        <v>209</v>
      </c>
      <c r="B124" t="s">
        <v>103</v>
      </c>
      <c r="C124" t="s">
        <v>42</v>
      </c>
      <c r="D124" t="s">
        <v>34</v>
      </c>
      <c r="E124" t="s">
        <v>35</v>
      </c>
      <c r="F124" s="3">
        <v>46199.458333333336</v>
      </c>
      <c r="G124" s="3">
        <v>46200.208333333336</v>
      </c>
      <c r="H124" t="s">
        <v>20</v>
      </c>
      <c r="I124" t="s">
        <v>67</v>
      </c>
      <c r="J124" t="s">
        <v>22</v>
      </c>
      <c r="K124">
        <v>18</v>
      </c>
      <c r="L124">
        <v>24</v>
      </c>
      <c r="M124">
        <v>1</v>
      </c>
      <c r="N124" t="s">
        <v>23</v>
      </c>
      <c r="O124" t="s">
        <v>39</v>
      </c>
      <c r="P124" t="s">
        <v>268</v>
      </c>
      <c r="Q124" t="s">
        <v>281</v>
      </c>
      <c r="R124" s="4">
        <v>46199</v>
      </c>
      <c r="S124">
        <v>2026</v>
      </c>
      <c r="T124">
        <v>6</v>
      </c>
      <c r="U124" t="s">
        <v>272</v>
      </c>
    </row>
    <row r="125" spans="1:21" x14ac:dyDescent="0.35">
      <c r="A125" t="s">
        <v>210</v>
      </c>
      <c r="B125" t="s">
        <v>86</v>
      </c>
      <c r="C125" t="s">
        <v>56</v>
      </c>
      <c r="D125" t="s">
        <v>34</v>
      </c>
      <c r="E125" t="s">
        <v>35</v>
      </c>
      <c r="F125" s="3">
        <v>46124.333333333336</v>
      </c>
      <c r="G125" s="3">
        <v>46124.666666666664</v>
      </c>
      <c r="H125" t="s">
        <v>20</v>
      </c>
      <c r="I125" t="s">
        <v>29</v>
      </c>
      <c r="J125" t="s">
        <v>22</v>
      </c>
      <c r="K125">
        <v>8</v>
      </c>
      <c r="L125">
        <v>24</v>
      </c>
      <c r="N125" t="s">
        <v>38</v>
      </c>
      <c r="O125" t="s">
        <v>47</v>
      </c>
      <c r="P125" t="s">
        <v>268</v>
      </c>
      <c r="Q125" t="s">
        <v>281</v>
      </c>
      <c r="R125" s="4">
        <v>46124</v>
      </c>
      <c r="S125">
        <v>2026</v>
      </c>
      <c r="T125">
        <v>4</v>
      </c>
      <c r="U125" t="s">
        <v>275</v>
      </c>
    </row>
    <row r="126" spans="1:21" x14ac:dyDescent="0.35">
      <c r="A126" t="s">
        <v>215</v>
      </c>
      <c r="B126" t="s">
        <v>70</v>
      </c>
      <c r="C126" t="s">
        <v>17</v>
      </c>
      <c r="D126" t="s">
        <v>18</v>
      </c>
      <c r="E126" t="s">
        <v>50</v>
      </c>
      <c r="F126" s="3">
        <v>46137.458333333336</v>
      </c>
      <c r="G126" s="3">
        <v>46139.458333333336</v>
      </c>
      <c r="H126" t="s">
        <v>20</v>
      </c>
      <c r="I126" t="s">
        <v>68</v>
      </c>
      <c r="J126" t="s">
        <v>22</v>
      </c>
      <c r="K126">
        <v>48</v>
      </c>
      <c r="L126">
        <v>24</v>
      </c>
      <c r="M126">
        <v>2</v>
      </c>
      <c r="N126" t="s">
        <v>38</v>
      </c>
      <c r="O126" t="s">
        <v>47</v>
      </c>
      <c r="P126" t="s">
        <v>268</v>
      </c>
      <c r="Q126" t="s">
        <v>282</v>
      </c>
      <c r="R126" s="4">
        <v>46137</v>
      </c>
      <c r="S126">
        <v>2026</v>
      </c>
      <c r="T126">
        <v>4</v>
      </c>
      <c r="U126" t="s">
        <v>275</v>
      </c>
    </row>
    <row r="127" spans="1:21" x14ac:dyDescent="0.35">
      <c r="A127" t="s">
        <v>216</v>
      </c>
      <c r="B127" t="s">
        <v>191</v>
      </c>
      <c r="C127" t="s">
        <v>56</v>
      </c>
      <c r="D127" t="s">
        <v>77</v>
      </c>
      <c r="E127" t="s">
        <v>19</v>
      </c>
      <c r="F127" s="3">
        <v>46140.833333333336</v>
      </c>
      <c r="G127" s="3">
        <v>46141.833333333336</v>
      </c>
      <c r="H127" t="s">
        <v>60</v>
      </c>
      <c r="I127" t="s">
        <v>29</v>
      </c>
      <c r="J127" t="s">
        <v>22</v>
      </c>
      <c r="K127">
        <v>24</v>
      </c>
      <c r="L127">
        <v>8</v>
      </c>
      <c r="N127" t="s">
        <v>38</v>
      </c>
      <c r="O127" t="s">
        <v>47</v>
      </c>
      <c r="P127" t="s">
        <v>268</v>
      </c>
      <c r="Q127" t="s">
        <v>282</v>
      </c>
      <c r="R127" s="4">
        <v>46140</v>
      </c>
      <c r="S127">
        <v>2026</v>
      </c>
      <c r="T127">
        <v>4</v>
      </c>
      <c r="U127" t="s">
        <v>275</v>
      </c>
    </row>
    <row r="128" spans="1:21" hidden="1" x14ac:dyDescent="0.35">
      <c r="A128" t="s">
        <v>217</v>
      </c>
      <c r="B128" t="s">
        <v>142</v>
      </c>
      <c r="C128" t="s">
        <v>56</v>
      </c>
      <c r="D128" t="s">
        <v>18</v>
      </c>
      <c r="E128" t="s">
        <v>35</v>
      </c>
      <c r="F128" s="3">
        <v>46043.416666666664</v>
      </c>
      <c r="G128" s="3">
        <v>46043.916666666664</v>
      </c>
      <c r="H128" t="s">
        <v>20</v>
      </c>
      <c r="I128" t="s">
        <v>51</v>
      </c>
      <c r="J128" t="s">
        <v>22</v>
      </c>
      <c r="K128">
        <v>12</v>
      </c>
      <c r="L128">
        <v>24</v>
      </c>
      <c r="M128">
        <v>5</v>
      </c>
      <c r="N128" t="s">
        <v>23</v>
      </c>
      <c r="O128" t="s">
        <v>39</v>
      </c>
      <c r="P128" t="s">
        <v>268</v>
      </c>
      <c r="Q128" t="s">
        <v>281</v>
      </c>
      <c r="R128" s="4">
        <v>46043</v>
      </c>
      <c r="S128">
        <v>2026</v>
      </c>
      <c r="T128">
        <v>1</v>
      </c>
      <c r="U128" t="s">
        <v>274</v>
      </c>
    </row>
    <row r="129" spans="1:21" hidden="1" x14ac:dyDescent="0.35">
      <c r="A129" t="s">
        <v>218</v>
      </c>
      <c r="B129" t="s">
        <v>116</v>
      </c>
      <c r="C129" t="s">
        <v>33</v>
      </c>
      <c r="D129" t="s">
        <v>77</v>
      </c>
      <c r="E129" t="s">
        <v>19</v>
      </c>
      <c r="F129" s="3">
        <v>46139.666666666664</v>
      </c>
      <c r="G129" s="3">
        <v>46141.666666666664</v>
      </c>
      <c r="H129" t="s">
        <v>20</v>
      </c>
      <c r="I129" t="s">
        <v>67</v>
      </c>
      <c r="J129" t="s">
        <v>22</v>
      </c>
      <c r="K129">
        <v>48</v>
      </c>
      <c r="L129">
        <v>24</v>
      </c>
      <c r="N129" t="s">
        <v>23</v>
      </c>
      <c r="O129" t="s">
        <v>47</v>
      </c>
      <c r="P129" t="s">
        <v>268</v>
      </c>
      <c r="Q129" t="s">
        <v>282</v>
      </c>
      <c r="R129" s="4">
        <v>46139</v>
      </c>
      <c r="S129">
        <v>2026</v>
      </c>
      <c r="T129">
        <v>4</v>
      </c>
      <c r="U129" t="s">
        <v>275</v>
      </c>
    </row>
    <row r="130" spans="1:21" hidden="1" x14ac:dyDescent="0.35">
      <c r="A130" t="s">
        <v>219</v>
      </c>
      <c r="B130" t="s">
        <v>73</v>
      </c>
      <c r="C130" t="s">
        <v>42</v>
      </c>
      <c r="D130" t="s">
        <v>77</v>
      </c>
      <c r="E130" t="s">
        <v>50</v>
      </c>
      <c r="F130" s="3">
        <v>46109.583333333336</v>
      </c>
      <c r="G130" s="3">
        <v>46110.583333333336</v>
      </c>
      <c r="H130" t="s">
        <v>60</v>
      </c>
      <c r="I130" t="s">
        <v>67</v>
      </c>
      <c r="J130" t="s">
        <v>22</v>
      </c>
      <c r="K130">
        <v>24</v>
      </c>
      <c r="L130">
        <v>8</v>
      </c>
      <c r="M130">
        <v>3</v>
      </c>
      <c r="N130" t="s">
        <v>23</v>
      </c>
      <c r="O130" t="s">
        <v>53</v>
      </c>
      <c r="P130" t="s">
        <v>268</v>
      </c>
      <c r="Q130" t="s">
        <v>282</v>
      </c>
      <c r="R130" s="4">
        <v>46109</v>
      </c>
      <c r="S130">
        <v>2026</v>
      </c>
      <c r="T130">
        <v>3</v>
      </c>
      <c r="U130" t="s">
        <v>270</v>
      </c>
    </row>
    <row r="131" spans="1:21" x14ac:dyDescent="0.35">
      <c r="A131" t="s">
        <v>220</v>
      </c>
      <c r="B131" t="s">
        <v>105</v>
      </c>
      <c r="C131" t="s">
        <v>49</v>
      </c>
      <c r="D131" t="s">
        <v>18</v>
      </c>
      <c r="E131" t="s">
        <v>35</v>
      </c>
      <c r="F131" s="3">
        <v>46046.083333333336</v>
      </c>
      <c r="G131" s="3">
        <v>46046.333333333336</v>
      </c>
      <c r="H131" t="s">
        <v>60</v>
      </c>
      <c r="I131" t="s">
        <v>67</v>
      </c>
      <c r="J131" t="s">
        <v>22</v>
      </c>
      <c r="K131">
        <v>6</v>
      </c>
      <c r="L131">
        <v>8</v>
      </c>
      <c r="M131">
        <v>5</v>
      </c>
      <c r="N131" t="s">
        <v>38</v>
      </c>
      <c r="O131" t="s">
        <v>53</v>
      </c>
      <c r="P131" t="s">
        <v>268</v>
      </c>
      <c r="Q131" t="s">
        <v>281</v>
      </c>
      <c r="R131" s="4">
        <v>46046</v>
      </c>
      <c r="S131">
        <v>2026</v>
      </c>
      <c r="T131">
        <v>1</v>
      </c>
      <c r="U131" t="s">
        <v>274</v>
      </c>
    </row>
    <row r="132" spans="1:21" hidden="1" x14ac:dyDescent="0.35">
      <c r="A132" t="s">
        <v>221</v>
      </c>
      <c r="B132" t="s">
        <v>99</v>
      </c>
      <c r="C132" t="s">
        <v>33</v>
      </c>
      <c r="D132" t="s">
        <v>77</v>
      </c>
      <c r="E132" t="s">
        <v>19</v>
      </c>
      <c r="F132" s="3">
        <v>46194.125</v>
      </c>
      <c r="G132" s="3">
        <v>46194.625</v>
      </c>
      <c r="H132" t="s">
        <v>60</v>
      </c>
      <c r="I132" t="s">
        <v>37</v>
      </c>
      <c r="J132" t="s">
        <v>22</v>
      </c>
      <c r="K132">
        <v>12</v>
      </c>
      <c r="L132">
        <v>8</v>
      </c>
      <c r="M132">
        <v>5</v>
      </c>
      <c r="N132" t="s">
        <v>23</v>
      </c>
      <c r="O132" t="s">
        <v>47</v>
      </c>
      <c r="P132" t="s">
        <v>268</v>
      </c>
      <c r="Q132" t="s">
        <v>282</v>
      </c>
      <c r="R132" s="4">
        <v>46194</v>
      </c>
      <c r="S132">
        <v>2026</v>
      </c>
      <c r="T132">
        <v>6</v>
      </c>
      <c r="U132" t="s">
        <v>272</v>
      </c>
    </row>
    <row r="133" spans="1:21" x14ac:dyDescent="0.35">
      <c r="A133" t="s">
        <v>222</v>
      </c>
      <c r="B133" t="s">
        <v>88</v>
      </c>
      <c r="C133" t="s">
        <v>17</v>
      </c>
      <c r="D133" t="s">
        <v>77</v>
      </c>
      <c r="E133" t="s">
        <v>27</v>
      </c>
      <c r="F133" s="3">
        <v>46077.166666666664</v>
      </c>
      <c r="G133" s="3">
        <v>46079.166666666664</v>
      </c>
      <c r="H133" t="s">
        <v>60</v>
      </c>
      <c r="I133" t="s">
        <v>51</v>
      </c>
      <c r="J133" t="s">
        <v>22</v>
      </c>
      <c r="K133">
        <v>48</v>
      </c>
      <c r="L133">
        <v>8</v>
      </c>
      <c r="M133">
        <v>3</v>
      </c>
      <c r="N133" t="s">
        <v>38</v>
      </c>
      <c r="O133" t="s">
        <v>53</v>
      </c>
      <c r="P133" t="s">
        <v>268</v>
      </c>
      <c r="Q133" t="s">
        <v>282</v>
      </c>
      <c r="R133" s="4">
        <v>46077</v>
      </c>
      <c r="S133">
        <v>2026</v>
      </c>
      <c r="T133">
        <v>2</v>
      </c>
      <c r="U133" t="s">
        <v>271</v>
      </c>
    </row>
    <row r="134" spans="1:21" hidden="1" x14ac:dyDescent="0.35">
      <c r="A134" t="s">
        <v>223</v>
      </c>
      <c r="B134" t="s">
        <v>176</v>
      </c>
      <c r="C134" t="s">
        <v>71</v>
      </c>
      <c r="D134" t="s">
        <v>77</v>
      </c>
      <c r="E134" t="s">
        <v>27</v>
      </c>
      <c r="F134" s="3">
        <v>46132.708333333336</v>
      </c>
      <c r="G134" s="3">
        <v>46133.208333333336</v>
      </c>
      <c r="H134" t="s">
        <v>20</v>
      </c>
      <c r="I134" t="s">
        <v>68</v>
      </c>
      <c r="J134" t="s">
        <v>22</v>
      </c>
      <c r="K134">
        <v>12</v>
      </c>
      <c r="L134">
        <v>24</v>
      </c>
      <c r="M134">
        <v>1</v>
      </c>
      <c r="N134" t="s">
        <v>23</v>
      </c>
      <c r="O134" t="s">
        <v>24</v>
      </c>
      <c r="P134" t="s">
        <v>268</v>
      </c>
      <c r="Q134" t="s">
        <v>281</v>
      </c>
      <c r="R134" s="4">
        <v>46132</v>
      </c>
      <c r="S134">
        <v>2026</v>
      </c>
      <c r="T134">
        <v>4</v>
      </c>
      <c r="U134" t="s">
        <v>275</v>
      </c>
    </row>
    <row r="135" spans="1:21" hidden="1" x14ac:dyDescent="0.35">
      <c r="A135" t="s">
        <v>225</v>
      </c>
      <c r="B135" t="s">
        <v>76</v>
      </c>
      <c r="C135" t="s">
        <v>56</v>
      </c>
      <c r="D135" t="s">
        <v>18</v>
      </c>
      <c r="E135" t="s">
        <v>35</v>
      </c>
      <c r="F135" s="3">
        <v>46158.25</v>
      </c>
      <c r="G135" s="3">
        <v>46158.5</v>
      </c>
      <c r="H135" t="s">
        <v>60</v>
      </c>
      <c r="I135" t="s">
        <v>67</v>
      </c>
      <c r="J135" t="s">
        <v>22</v>
      </c>
      <c r="K135">
        <v>6</v>
      </c>
      <c r="L135">
        <v>8</v>
      </c>
      <c r="M135">
        <v>3</v>
      </c>
      <c r="N135" t="s">
        <v>23</v>
      </c>
      <c r="O135" t="s">
        <v>53</v>
      </c>
      <c r="P135" t="s">
        <v>268</v>
      </c>
      <c r="Q135" t="s">
        <v>281</v>
      </c>
      <c r="R135" s="4">
        <v>46158</v>
      </c>
      <c r="S135">
        <v>2026</v>
      </c>
      <c r="T135">
        <v>5</v>
      </c>
      <c r="U135" t="s">
        <v>273</v>
      </c>
    </row>
    <row r="136" spans="1:21" hidden="1" x14ac:dyDescent="0.35">
      <c r="A136" t="s">
        <v>226</v>
      </c>
      <c r="B136" t="s">
        <v>191</v>
      </c>
      <c r="C136" t="s">
        <v>71</v>
      </c>
      <c r="D136" t="s">
        <v>77</v>
      </c>
      <c r="E136" t="s">
        <v>27</v>
      </c>
      <c r="F136" s="3">
        <v>46044.041666666664</v>
      </c>
      <c r="G136" s="3">
        <v>46044.541666666664</v>
      </c>
      <c r="H136" t="s">
        <v>20</v>
      </c>
      <c r="I136" t="s">
        <v>51</v>
      </c>
      <c r="J136" t="s">
        <v>22</v>
      </c>
      <c r="K136">
        <v>12</v>
      </c>
      <c r="L136">
        <v>24</v>
      </c>
      <c r="M136">
        <v>4</v>
      </c>
      <c r="N136" t="s">
        <v>23</v>
      </c>
      <c r="O136" t="s">
        <v>47</v>
      </c>
      <c r="P136" t="s">
        <v>268</v>
      </c>
      <c r="Q136" t="s">
        <v>281</v>
      </c>
      <c r="R136" s="4">
        <v>46044</v>
      </c>
      <c r="S136">
        <v>2026</v>
      </c>
      <c r="T136">
        <v>1</v>
      </c>
      <c r="U136" t="s">
        <v>274</v>
      </c>
    </row>
    <row r="137" spans="1:21" hidden="1" x14ac:dyDescent="0.35">
      <c r="A137" t="s">
        <v>229</v>
      </c>
      <c r="B137" t="s">
        <v>127</v>
      </c>
      <c r="C137" t="s">
        <v>56</v>
      </c>
      <c r="D137" t="s">
        <v>77</v>
      </c>
      <c r="E137" t="s">
        <v>50</v>
      </c>
      <c r="F137" s="3">
        <v>46157.375</v>
      </c>
      <c r="G137" s="3">
        <v>46157.458333333336</v>
      </c>
      <c r="H137" t="s">
        <v>60</v>
      </c>
      <c r="I137" t="s">
        <v>51</v>
      </c>
      <c r="J137" t="s">
        <v>22</v>
      </c>
      <c r="K137">
        <v>2</v>
      </c>
      <c r="L137">
        <v>8</v>
      </c>
      <c r="M137">
        <v>1</v>
      </c>
      <c r="N137" t="s">
        <v>23</v>
      </c>
      <c r="O137" t="s">
        <v>24</v>
      </c>
      <c r="P137" t="s">
        <v>268</v>
      </c>
      <c r="Q137" t="s">
        <v>281</v>
      </c>
      <c r="R137" s="4">
        <v>46157</v>
      </c>
      <c r="S137">
        <v>2026</v>
      </c>
      <c r="T137">
        <v>5</v>
      </c>
      <c r="U137" t="s">
        <v>273</v>
      </c>
    </row>
    <row r="138" spans="1:21" hidden="1" x14ac:dyDescent="0.35">
      <c r="A138" t="s">
        <v>230</v>
      </c>
      <c r="B138" t="s">
        <v>168</v>
      </c>
      <c r="C138" t="s">
        <v>49</v>
      </c>
      <c r="D138" t="s">
        <v>77</v>
      </c>
      <c r="E138" t="s">
        <v>19</v>
      </c>
      <c r="F138" s="3">
        <v>46097.416666666664</v>
      </c>
      <c r="G138" s="3">
        <v>46097.666666666664</v>
      </c>
      <c r="H138" t="s">
        <v>60</v>
      </c>
      <c r="I138" t="s">
        <v>29</v>
      </c>
      <c r="J138" t="s">
        <v>22</v>
      </c>
      <c r="K138">
        <v>6</v>
      </c>
      <c r="L138">
        <v>8</v>
      </c>
      <c r="M138">
        <v>2</v>
      </c>
      <c r="N138" t="s">
        <v>23</v>
      </c>
      <c r="O138" t="s">
        <v>47</v>
      </c>
      <c r="P138" t="s">
        <v>268</v>
      </c>
      <c r="Q138" t="s">
        <v>281</v>
      </c>
      <c r="R138" s="4">
        <v>46097</v>
      </c>
      <c r="S138">
        <v>2026</v>
      </c>
      <c r="T138">
        <v>3</v>
      </c>
      <c r="U138" t="s">
        <v>270</v>
      </c>
    </row>
    <row r="139" spans="1:21" x14ac:dyDescent="0.35">
      <c r="A139" t="s">
        <v>231</v>
      </c>
      <c r="B139" t="s">
        <v>86</v>
      </c>
      <c r="C139" t="s">
        <v>56</v>
      </c>
      <c r="D139" t="s">
        <v>77</v>
      </c>
      <c r="E139" t="s">
        <v>27</v>
      </c>
      <c r="F139" s="3">
        <v>46166.458333333336</v>
      </c>
      <c r="G139" s="3">
        <v>46166.541666666664</v>
      </c>
      <c r="H139" t="s">
        <v>60</v>
      </c>
      <c r="I139" t="s">
        <v>67</v>
      </c>
      <c r="J139" t="s">
        <v>22</v>
      </c>
      <c r="K139">
        <v>2</v>
      </c>
      <c r="L139">
        <v>8</v>
      </c>
      <c r="M139">
        <v>4</v>
      </c>
      <c r="N139" t="s">
        <v>38</v>
      </c>
      <c r="O139" t="s">
        <v>47</v>
      </c>
      <c r="P139" t="s">
        <v>268</v>
      </c>
      <c r="Q139" t="s">
        <v>281</v>
      </c>
      <c r="R139" s="4">
        <v>46166</v>
      </c>
      <c r="S139">
        <v>2026</v>
      </c>
      <c r="T139">
        <v>5</v>
      </c>
      <c r="U139" t="s">
        <v>273</v>
      </c>
    </row>
    <row r="140" spans="1:21" hidden="1" x14ac:dyDescent="0.35">
      <c r="A140" t="s">
        <v>232</v>
      </c>
      <c r="B140" t="s">
        <v>163</v>
      </c>
      <c r="C140" t="s">
        <v>71</v>
      </c>
      <c r="D140" t="s">
        <v>77</v>
      </c>
      <c r="E140" t="s">
        <v>50</v>
      </c>
      <c r="F140" s="3">
        <v>46169.5</v>
      </c>
      <c r="G140" s="3">
        <v>46169.583333333336</v>
      </c>
      <c r="H140" t="s">
        <v>60</v>
      </c>
      <c r="I140" t="s">
        <v>37</v>
      </c>
      <c r="J140" t="s">
        <v>22</v>
      </c>
      <c r="K140">
        <v>2</v>
      </c>
      <c r="L140">
        <v>8</v>
      </c>
      <c r="M140">
        <v>3</v>
      </c>
      <c r="N140" t="s">
        <v>23</v>
      </c>
      <c r="O140" t="s">
        <v>47</v>
      </c>
      <c r="P140" t="s">
        <v>268</v>
      </c>
      <c r="Q140" t="s">
        <v>281</v>
      </c>
      <c r="R140" s="4">
        <v>46169</v>
      </c>
      <c r="S140">
        <v>2026</v>
      </c>
      <c r="T140">
        <v>5</v>
      </c>
      <c r="U140" t="s">
        <v>273</v>
      </c>
    </row>
    <row r="141" spans="1:21" x14ac:dyDescent="0.35">
      <c r="A141" t="s">
        <v>233</v>
      </c>
      <c r="B141" t="s">
        <v>114</v>
      </c>
      <c r="C141" t="s">
        <v>33</v>
      </c>
      <c r="D141" t="s">
        <v>18</v>
      </c>
      <c r="E141" t="s">
        <v>19</v>
      </c>
      <c r="F141" s="3">
        <v>46045.541666666664</v>
      </c>
      <c r="G141" s="3">
        <v>46046.541666666664</v>
      </c>
      <c r="H141" t="s">
        <v>60</v>
      </c>
      <c r="I141" t="s">
        <v>51</v>
      </c>
      <c r="J141" t="s">
        <v>22</v>
      </c>
      <c r="K141">
        <v>24</v>
      </c>
      <c r="L141">
        <v>8</v>
      </c>
      <c r="M141">
        <v>5</v>
      </c>
      <c r="N141" t="s">
        <v>38</v>
      </c>
      <c r="O141" t="s">
        <v>24</v>
      </c>
      <c r="P141" t="s">
        <v>268</v>
      </c>
      <c r="Q141" t="s">
        <v>282</v>
      </c>
      <c r="R141" s="4">
        <v>46045</v>
      </c>
      <c r="S141">
        <v>2026</v>
      </c>
      <c r="T141">
        <v>1</v>
      </c>
      <c r="U141" t="s">
        <v>274</v>
      </c>
    </row>
    <row r="142" spans="1:21" hidden="1" x14ac:dyDescent="0.35">
      <c r="A142" t="s">
        <v>234</v>
      </c>
      <c r="B142" t="s">
        <v>118</v>
      </c>
      <c r="C142" t="s">
        <v>71</v>
      </c>
      <c r="D142" t="s">
        <v>34</v>
      </c>
      <c r="E142" t="s">
        <v>27</v>
      </c>
      <c r="F142" s="3">
        <v>46108.208333333336</v>
      </c>
      <c r="G142" s="3">
        <v>46110.208333333336</v>
      </c>
      <c r="H142" t="s">
        <v>60</v>
      </c>
      <c r="I142" t="s">
        <v>68</v>
      </c>
      <c r="J142" t="s">
        <v>22</v>
      </c>
      <c r="K142">
        <v>48</v>
      </c>
      <c r="L142">
        <v>8</v>
      </c>
      <c r="M142">
        <v>2</v>
      </c>
      <c r="N142" t="s">
        <v>23</v>
      </c>
      <c r="O142" t="s">
        <v>24</v>
      </c>
      <c r="P142" t="s">
        <v>268</v>
      </c>
      <c r="Q142" t="s">
        <v>282</v>
      </c>
      <c r="R142" s="4">
        <v>46108</v>
      </c>
      <c r="S142">
        <v>2026</v>
      </c>
      <c r="T142">
        <v>3</v>
      </c>
      <c r="U142" t="s">
        <v>270</v>
      </c>
    </row>
    <row r="143" spans="1:21" x14ac:dyDescent="0.35">
      <c r="A143" t="s">
        <v>237</v>
      </c>
      <c r="B143" t="s">
        <v>238</v>
      </c>
      <c r="C143" t="s">
        <v>42</v>
      </c>
      <c r="D143" t="s">
        <v>18</v>
      </c>
      <c r="E143" t="s">
        <v>19</v>
      </c>
      <c r="F143" s="3">
        <v>46093.75</v>
      </c>
      <c r="G143" s="3">
        <v>46095</v>
      </c>
      <c r="H143" t="s">
        <v>60</v>
      </c>
      <c r="I143" t="s">
        <v>37</v>
      </c>
      <c r="J143" t="s">
        <v>22</v>
      </c>
      <c r="K143">
        <v>30</v>
      </c>
      <c r="L143">
        <v>8</v>
      </c>
      <c r="M143">
        <v>4</v>
      </c>
      <c r="N143" t="s">
        <v>38</v>
      </c>
      <c r="O143" t="s">
        <v>53</v>
      </c>
      <c r="P143" t="s">
        <v>268</v>
      </c>
      <c r="Q143" t="s">
        <v>282</v>
      </c>
      <c r="R143" s="4">
        <v>46093</v>
      </c>
      <c r="S143">
        <v>2026</v>
      </c>
      <c r="T143">
        <v>3</v>
      </c>
      <c r="U143" t="s">
        <v>270</v>
      </c>
    </row>
    <row r="144" spans="1:21" hidden="1" x14ac:dyDescent="0.35">
      <c r="A144" t="s">
        <v>240</v>
      </c>
      <c r="B144" t="s">
        <v>32</v>
      </c>
      <c r="C144" t="s">
        <v>33</v>
      </c>
      <c r="D144" t="s">
        <v>77</v>
      </c>
      <c r="E144" t="s">
        <v>19</v>
      </c>
      <c r="F144" s="3">
        <v>46177.625</v>
      </c>
      <c r="G144" s="3">
        <v>46177.791666666664</v>
      </c>
      <c r="H144" t="s">
        <v>20</v>
      </c>
      <c r="I144" t="s">
        <v>51</v>
      </c>
      <c r="J144" t="s">
        <v>22</v>
      </c>
      <c r="K144">
        <v>4</v>
      </c>
      <c r="L144">
        <v>24</v>
      </c>
      <c r="N144" t="s">
        <v>23</v>
      </c>
      <c r="O144" t="s">
        <v>47</v>
      </c>
      <c r="P144" t="s">
        <v>268</v>
      </c>
      <c r="Q144" t="s">
        <v>281</v>
      </c>
      <c r="R144" s="4">
        <v>46177</v>
      </c>
      <c r="S144">
        <v>2026</v>
      </c>
      <c r="T144">
        <v>6</v>
      </c>
      <c r="U144" t="s">
        <v>272</v>
      </c>
    </row>
    <row r="145" spans="1:21" hidden="1" x14ac:dyDescent="0.35">
      <c r="A145" t="s">
        <v>246</v>
      </c>
      <c r="B145" t="s">
        <v>97</v>
      </c>
      <c r="C145" t="s">
        <v>71</v>
      </c>
      <c r="D145" t="s">
        <v>18</v>
      </c>
      <c r="E145" t="s">
        <v>19</v>
      </c>
      <c r="F145" s="3">
        <v>46102.208333333336</v>
      </c>
      <c r="G145" s="3">
        <v>46102.541666666664</v>
      </c>
      <c r="H145" t="s">
        <v>20</v>
      </c>
      <c r="I145" t="s">
        <v>37</v>
      </c>
      <c r="J145" t="s">
        <v>22</v>
      </c>
      <c r="K145">
        <v>8</v>
      </c>
      <c r="L145">
        <v>24</v>
      </c>
      <c r="M145">
        <v>2</v>
      </c>
      <c r="N145" t="s">
        <v>23</v>
      </c>
      <c r="O145" t="s">
        <v>39</v>
      </c>
      <c r="P145" t="s">
        <v>268</v>
      </c>
      <c r="Q145" t="s">
        <v>281</v>
      </c>
      <c r="R145" s="4">
        <v>46102</v>
      </c>
      <c r="S145">
        <v>2026</v>
      </c>
      <c r="T145">
        <v>3</v>
      </c>
      <c r="U145" t="s">
        <v>270</v>
      </c>
    </row>
    <row r="146" spans="1:21" hidden="1" x14ac:dyDescent="0.35">
      <c r="A146" t="s">
        <v>249</v>
      </c>
      <c r="B146" t="s">
        <v>176</v>
      </c>
      <c r="C146" t="s">
        <v>56</v>
      </c>
      <c r="D146" t="s">
        <v>18</v>
      </c>
      <c r="E146" t="s">
        <v>27</v>
      </c>
      <c r="F146" s="3">
        <v>46159.291666666664</v>
      </c>
      <c r="G146" s="3">
        <v>46160.041666666664</v>
      </c>
      <c r="H146" t="s">
        <v>36</v>
      </c>
      <c r="I146" t="s">
        <v>29</v>
      </c>
      <c r="J146" t="s">
        <v>22</v>
      </c>
      <c r="K146">
        <v>18</v>
      </c>
      <c r="L146">
        <v>48</v>
      </c>
      <c r="N146" t="s">
        <v>23</v>
      </c>
      <c r="O146" t="s">
        <v>39</v>
      </c>
      <c r="P146" t="s">
        <v>268</v>
      </c>
      <c r="Q146" t="s">
        <v>281</v>
      </c>
      <c r="R146" s="4">
        <v>46159</v>
      </c>
      <c r="S146">
        <v>2026</v>
      </c>
      <c r="T146">
        <v>5</v>
      </c>
      <c r="U146" t="s">
        <v>273</v>
      </c>
    </row>
    <row r="147" spans="1:21" x14ac:dyDescent="0.35">
      <c r="A147" t="s">
        <v>251</v>
      </c>
      <c r="B147" t="s">
        <v>58</v>
      </c>
      <c r="C147" t="s">
        <v>42</v>
      </c>
      <c r="D147" t="s">
        <v>77</v>
      </c>
      <c r="E147" t="s">
        <v>27</v>
      </c>
      <c r="F147" s="3">
        <v>46134.083333333336</v>
      </c>
      <c r="G147" s="3">
        <v>46134.166666666664</v>
      </c>
      <c r="H147" t="s">
        <v>20</v>
      </c>
      <c r="I147" t="s">
        <v>29</v>
      </c>
      <c r="J147" t="s">
        <v>22</v>
      </c>
      <c r="K147">
        <v>2</v>
      </c>
      <c r="L147">
        <v>24</v>
      </c>
      <c r="M147">
        <v>4</v>
      </c>
      <c r="N147" t="s">
        <v>38</v>
      </c>
      <c r="O147" t="s">
        <v>53</v>
      </c>
      <c r="P147" t="s">
        <v>268</v>
      </c>
      <c r="Q147" t="s">
        <v>281</v>
      </c>
      <c r="R147" s="4">
        <v>46134</v>
      </c>
      <c r="S147">
        <v>2026</v>
      </c>
      <c r="T147">
        <v>4</v>
      </c>
      <c r="U147" t="s">
        <v>275</v>
      </c>
    </row>
    <row r="148" spans="1:21" hidden="1" x14ac:dyDescent="0.35">
      <c r="A148" t="s">
        <v>252</v>
      </c>
      <c r="B148" t="s">
        <v>118</v>
      </c>
      <c r="C148" t="s">
        <v>33</v>
      </c>
      <c r="D148" t="s">
        <v>34</v>
      </c>
      <c r="E148" t="s">
        <v>27</v>
      </c>
      <c r="F148" s="3">
        <v>46121.083333333336</v>
      </c>
      <c r="G148" s="3">
        <v>46121.25</v>
      </c>
      <c r="H148" t="s">
        <v>36</v>
      </c>
      <c r="I148" t="s">
        <v>51</v>
      </c>
      <c r="J148" t="s">
        <v>22</v>
      </c>
      <c r="K148">
        <v>4</v>
      </c>
      <c r="L148">
        <v>48</v>
      </c>
      <c r="N148" t="s">
        <v>23</v>
      </c>
      <c r="O148" t="s">
        <v>53</v>
      </c>
      <c r="P148" t="s">
        <v>268</v>
      </c>
      <c r="Q148" t="s">
        <v>281</v>
      </c>
      <c r="R148" s="4">
        <v>46121</v>
      </c>
      <c r="S148">
        <v>2026</v>
      </c>
      <c r="T148">
        <v>4</v>
      </c>
      <c r="U148" t="s">
        <v>275</v>
      </c>
    </row>
    <row r="149" spans="1:21" hidden="1" x14ac:dyDescent="0.35">
      <c r="A149" t="s">
        <v>255</v>
      </c>
      <c r="B149" t="s">
        <v>94</v>
      </c>
      <c r="C149" t="s">
        <v>17</v>
      </c>
      <c r="D149" t="s">
        <v>18</v>
      </c>
      <c r="E149" t="s">
        <v>19</v>
      </c>
      <c r="F149" s="3">
        <v>46078.166666666664</v>
      </c>
      <c r="G149" s="3">
        <v>46078.666666666664</v>
      </c>
      <c r="H149" t="s">
        <v>20</v>
      </c>
      <c r="I149" t="s">
        <v>21</v>
      </c>
      <c r="J149" t="s">
        <v>22</v>
      </c>
      <c r="K149">
        <v>12</v>
      </c>
      <c r="L149">
        <v>24</v>
      </c>
      <c r="M149">
        <v>2</v>
      </c>
      <c r="N149" t="s">
        <v>23</v>
      </c>
      <c r="O149" t="s">
        <v>47</v>
      </c>
      <c r="P149" t="s">
        <v>268</v>
      </c>
      <c r="Q149" t="s">
        <v>281</v>
      </c>
      <c r="R149" s="4">
        <v>46078</v>
      </c>
      <c r="S149">
        <v>2026</v>
      </c>
      <c r="T149">
        <v>2</v>
      </c>
      <c r="U149" t="s">
        <v>271</v>
      </c>
    </row>
    <row r="150" spans="1:21" hidden="1" x14ac:dyDescent="0.35">
      <c r="A150" t="s">
        <v>259</v>
      </c>
      <c r="B150" t="s">
        <v>120</v>
      </c>
      <c r="C150" t="s">
        <v>56</v>
      </c>
      <c r="D150" t="s">
        <v>18</v>
      </c>
      <c r="E150" t="s">
        <v>27</v>
      </c>
      <c r="F150" s="3">
        <v>46115.083333333336</v>
      </c>
      <c r="G150" s="3">
        <v>46116.333333333336</v>
      </c>
      <c r="H150" t="s">
        <v>20</v>
      </c>
      <c r="I150" t="s">
        <v>68</v>
      </c>
      <c r="J150" t="s">
        <v>22</v>
      </c>
      <c r="K150">
        <v>30</v>
      </c>
      <c r="L150">
        <v>24</v>
      </c>
      <c r="M150">
        <v>1</v>
      </c>
      <c r="N150" t="s">
        <v>23</v>
      </c>
      <c r="O150" t="s">
        <v>47</v>
      </c>
      <c r="P150" t="s">
        <v>268</v>
      </c>
      <c r="Q150" t="s">
        <v>282</v>
      </c>
      <c r="R150" s="4">
        <v>46115</v>
      </c>
      <c r="S150">
        <v>2026</v>
      </c>
      <c r="T150">
        <v>4</v>
      </c>
      <c r="U150" t="s">
        <v>275</v>
      </c>
    </row>
    <row r="151" spans="1:21" x14ac:dyDescent="0.35">
      <c r="A151" t="s">
        <v>260</v>
      </c>
      <c r="B151" t="s">
        <v>105</v>
      </c>
      <c r="C151" t="s">
        <v>71</v>
      </c>
      <c r="D151" t="s">
        <v>18</v>
      </c>
      <c r="E151" t="s">
        <v>19</v>
      </c>
      <c r="F151" s="3">
        <v>46040.458333333336</v>
      </c>
      <c r="G151" s="3">
        <v>46041.208333333336</v>
      </c>
      <c r="H151" t="s">
        <v>20</v>
      </c>
      <c r="I151" t="s">
        <v>21</v>
      </c>
      <c r="J151" t="s">
        <v>22</v>
      </c>
      <c r="K151">
        <v>18</v>
      </c>
      <c r="L151">
        <v>24</v>
      </c>
      <c r="M151">
        <v>2</v>
      </c>
      <c r="N151" t="s">
        <v>38</v>
      </c>
      <c r="O151" t="s">
        <v>24</v>
      </c>
      <c r="P151" t="s">
        <v>268</v>
      </c>
      <c r="Q151" t="s">
        <v>281</v>
      </c>
      <c r="R151" s="4">
        <v>46040</v>
      </c>
      <c r="S151">
        <v>2026</v>
      </c>
      <c r="T151">
        <v>1</v>
      </c>
      <c r="U151" t="s">
        <v>274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6AC1-95A6-4C7C-93D3-A18B2829A558}">
  <dimension ref="A3:B6"/>
  <sheetViews>
    <sheetView workbookViewId="0">
      <selection activeCell="A3" sqref="A3:B6"/>
    </sheetView>
  </sheetViews>
  <sheetFormatPr defaultRowHeight="14.5" x14ac:dyDescent="0.35"/>
  <cols>
    <col min="1" max="1" width="12.36328125" bestFit="1" customWidth="1"/>
    <col min="2" max="2" width="16.54296875" bestFit="1" customWidth="1"/>
  </cols>
  <sheetData>
    <row r="3" spans="1:2" x14ac:dyDescent="0.35">
      <c r="A3" s="5" t="s">
        <v>294</v>
      </c>
      <c r="B3" t="s">
        <v>293</v>
      </c>
    </row>
    <row r="4" spans="1:2" x14ac:dyDescent="0.35">
      <c r="A4" s="6" t="s">
        <v>23</v>
      </c>
      <c r="B4">
        <v>108</v>
      </c>
    </row>
    <row r="5" spans="1:2" x14ac:dyDescent="0.35">
      <c r="A5" s="6" t="s">
        <v>38</v>
      </c>
      <c r="B5">
        <v>42</v>
      </c>
    </row>
    <row r="6" spans="1:2" x14ac:dyDescent="0.35">
      <c r="A6" s="6" t="s">
        <v>284</v>
      </c>
      <c r="B6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4CEB-9862-455F-A3C8-D160D961144A}">
  <dimension ref="A3:C9"/>
  <sheetViews>
    <sheetView workbookViewId="0">
      <selection activeCell="C13" sqref="C13"/>
    </sheetView>
  </sheetViews>
  <sheetFormatPr defaultRowHeight="14.5" x14ac:dyDescent="0.35"/>
  <cols>
    <col min="1" max="1" width="17.6328125" bestFit="1" customWidth="1"/>
    <col min="2" max="2" width="24.90625" bestFit="1" customWidth="1"/>
    <col min="3" max="3" width="23.26953125" bestFit="1" customWidth="1"/>
  </cols>
  <sheetData>
    <row r="3" spans="1:3" x14ac:dyDescent="0.35">
      <c r="A3" s="5" t="s">
        <v>12</v>
      </c>
      <c r="B3" t="s">
        <v>290</v>
      </c>
      <c r="C3" t="s">
        <v>292</v>
      </c>
    </row>
    <row r="4" spans="1:3" x14ac:dyDescent="0.35">
      <c r="A4" s="6">
        <v>1</v>
      </c>
      <c r="B4">
        <v>1</v>
      </c>
      <c r="C4">
        <v>10</v>
      </c>
    </row>
    <row r="5" spans="1:3" x14ac:dyDescent="0.35">
      <c r="A5" s="6">
        <v>2</v>
      </c>
      <c r="B5">
        <v>2</v>
      </c>
      <c r="C5">
        <v>21</v>
      </c>
    </row>
    <row r="6" spans="1:3" x14ac:dyDescent="0.35">
      <c r="A6" s="6">
        <v>3</v>
      </c>
      <c r="B6">
        <v>3</v>
      </c>
      <c r="C6">
        <v>9</v>
      </c>
    </row>
    <row r="7" spans="1:3" x14ac:dyDescent="0.35">
      <c r="A7" s="6">
        <v>4</v>
      </c>
      <c r="B7">
        <v>4</v>
      </c>
      <c r="C7">
        <v>8</v>
      </c>
    </row>
    <row r="8" spans="1:3" x14ac:dyDescent="0.35">
      <c r="A8" s="6">
        <v>5</v>
      </c>
      <c r="B8">
        <v>5</v>
      </c>
      <c r="C8">
        <v>11</v>
      </c>
    </row>
    <row r="9" spans="1:3" x14ac:dyDescent="0.35">
      <c r="A9" s="6" t="s">
        <v>284</v>
      </c>
      <c r="B9">
        <v>2.8135593220338984</v>
      </c>
      <c r="C9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CA10-71C8-490B-83C8-FC877C074189}">
  <dimension ref="A3:D9"/>
  <sheetViews>
    <sheetView workbookViewId="0">
      <selection activeCell="A3" sqref="A3:D9"/>
    </sheetView>
  </sheetViews>
  <sheetFormatPr defaultRowHeight="14.5" x14ac:dyDescent="0.35"/>
  <cols>
    <col min="1" max="1" width="12.36328125" bestFit="1" customWidth="1"/>
    <col min="2" max="2" width="24.90625" bestFit="1" customWidth="1"/>
    <col min="3" max="3" width="25.453125" bestFit="1" customWidth="1"/>
    <col min="4" max="4" width="13.90625" bestFit="1" customWidth="1"/>
  </cols>
  <sheetData>
    <row r="3" spans="1:4" x14ac:dyDescent="0.35">
      <c r="A3" s="5" t="s">
        <v>4</v>
      </c>
      <c r="B3" t="s">
        <v>290</v>
      </c>
      <c r="C3" t="s">
        <v>289</v>
      </c>
      <c r="D3" t="s">
        <v>287</v>
      </c>
    </row>
    <row r="4" spans="1:4" x14ac:dyDescent="0.35">
      <c r="A4" s="6" t="s">
        <v>19</v>
      </c>
      <c r="B4">
        <v>3.2857142857142856</v>
      </c>
      <c r="C4">
        <v>16.285714285714285</v>
      </c>
      <c r="D4">
        <v>28</v>
      </c>
    </row>
    <row r="5" spans="1:4" x14ac:dyDescent="0.35">
      <c r="A5" s="6" t="s">
        <v>35</v>
      </c>
      <c r="B5">
        <v>2.7</v>
      </c>
      <c r="C5">
        <v>12.444444444444445</v>
      </c>
      <c r="D5">
        <v>30</v>
      </c>
    </row>
    <row r="6" spans="1:4" x14ac:dyDescent="0.35">
      <c r="A6" s="6" t="s">
        <v>27</v>
      </c>
      <c r="B6">
        <v>2.8076923076923075</v>
      </c>
      <c r="C6">
        <v>16.982456140350877</v>
      </c>
      <c r="D6">
        <v>62</v>
      </c>
    </row>
    <row r="7" spans="1:4" x14ac:dyDescent="0.35">
      <c r="A7" s="6" t="s">
        <v>283</v>
      </c>
      <c r="C7">
        <v>18</v>
      </c>
      <c r="D7">
        <v>1</v>
      </c>
    </row>
    <row r="8" spans="1:4" x14ac:dyDescent="0.35">
      <c r="A8" s="6" t="s">
        <v>50</v>
      </c>
      <c r="B8">
        <v>2.2222222222222223</v>
      </c>
      <c r="C8">
        <v>14.962962962962964</v>
      </c>
      <c r="D8">
        <v>29</v>
      </c>
    </row>
    <row r="9" spans="1:4" x14ac:dyDescent="0.35">
      <c r="A9" s="6" t="s">
        <v>284</v>
      </c>
      <c r="B9">
        <v>2.8135593220338984</v>
      </c>
      <c r="C9">
        <v>15.585714285714285</v>
      </c>
      <c r="D9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70CA-E7C0-41F2-BC80-044FC91145FF}">
  <dimension ref="A3:D7"/>
  <sheetViews>
    <sheetView workbookViewId="0">
      <selection activeCell="A3" sqref="A3:D7"/>
    </sheetView>
  </sheetViews>
  <sheetFormatPr defaultRowHeight="14.5" x14ac:dyDescent="0.35"/>
  <cols>
    <col min="1" max="1" width="15.7265625" bestFit="1" customWidth="1"/>
    <col min="2" max="2" width="13.90625" bestFit="1" customWidth="1"/>
    <col min="3" max="3" width="24.90625" bestFit="1" customWidth="1"/>
    <col min="4" max="4" width="25.453125" bestFit="1" customWidth="1"/>
  </cols>
  <sheetData>
    <row r="3" spans="1:4" x14ac:dyDescent="0.35">
      <c r="A3" s="5" t="s">
        <v>3</v>
      </c>
      <c r="B3" t="s">
        <v>287</v>
      </c>
      <c r="C3" t="s">
        <v>290</v>
      </c>
      <c r="D3" t="s">
        <v>289</v>
      </c>
    </row>
    <row r="4" spans="1:4" x14ac:dyDescent="0.35">
      <c r="A4" s="6" t="s">
        <v>77</v>
      </c>
      <c r="B4">
        <v>59</v>
      </c>
      <c r="C4">
        <v>2.5357142857142856</v>
      </c>
      <c r="D4">
        <v>14.528301886792454</v>
      </c>
    </row>
    <row r="5" spans="1:4" x14ac:dyDescent="0.35">
      <c r="A5" s="6" t="s">
        <v>34</v>
      </c>
      <c r="B5">
        <v>37</v>
      </c>
      <c r="C5">
        <v>2.6</v>
      </c>
      <c r="D5">
        <v>15.454545454545455</v>
      </c>
    </row>
    <row r="6" spans="1:4" x14ac:dyDescent="0.35">
      <c r="A6" s="6" t="s">
        <v>18</v>
      </c>
      <c r="B6">
        <v>54</v>
      </c>
      <c r="C6">
        <v>3.2857142857142856</v>
      </c>
      <c r="D6">
        <v>16.703703703703702</v>
      </c>
    </row>
    <row r="7" spans="1:4" x14ac:dyDescent="0.35">
      <c r="A7" s="6" t="s">
        <v>284</v>
      </c>
      <c r="B7">
        <v>150</v>
      </c>
      <c r="C7">
        <v>2.8135593220338984</v>
      </c>
      <c r="D7">
        <v>15.585714285714285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25F6-E529-42C2-A5A7-A2C278574DFF}">
  <dimension ref="A3:D10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7.90625" bestFit="1" customWidth="1"/>
    <col min="3" max="3" width="24.90625" bestFit="1" customWidth="1"/>
    <col min="4" max="5" width="25.453125" bestFit="1" customWidth="1"/>
  </cols>
  <sheetData>
    <row r="3" spans="1:4" x14ac:dyDescent="0.35">
      <c r="A3" s="5" t="s">
        <v>2</v>
      </c>
      <c r="B3" t="s">
        <v>286</v>
      </c>
      <c r="C3" t="s">
        <v>290</v>
      </c>
      <c r="D3" t="s">
        <v>289</v>
      </c>
    </row>
    <row r="4" spans="1:4" x14ac:dyDescent="0.35">
      <c r="A4" s="6" t="s">
        <v>17</v>
      </c>
      <c r="B4">
        <v>22</v>
      </c>
      <c r="C4">
        <v>3.3636363636363638</v>
      </c>
      <c r="D4">
        <v>20</v>
      </c>
    </row>
    <row r="5" spans="1:4" x14ac:dyDescent="0.35">
      <c r="A5" s="6" t="s">
        <v>42</v>
      </c>
      <c r="B5">
        <v>19</v>
      </c>
      <c r="C5">
        <v>2.7</v>
      </c>
      <c r="D5">
        <v>19.411764705882351</v>
      </c>
    </row>
    <row r="6" spans="1:4" x14ac:dyDescent="0.35">
      <c r="A6" s="6" t="s">
        <v>33</v>
      </c>
      <c r="B6">
        <v>29</v>
      </c>
      <c r="C6">
        <v>3</v>
      </c>
      <c r="D6">
        <v>16.888888888888889</v>
      </c>
    </row>
    <row r="7" spans="1:4" x14ac:dyDescent="0.35">
      <c r="A7" s="6" t="s">
        <v>49</v>
      </c>
      <c r="B7">
        <v>28</v>
      </c>
      <c r="C7">
        <v>2.6</v>
      </c>
      <c r="D7">
        <v>15</v>
      </c>
    </row>
    <row r="8" spans="1:4" x14ac:dyDescent="0.35">
      <c r="A8" s="6" t="s">
        <v>56</v>
      </c>
      <c r="B8">
        <v>24</v>
      </c>
      <c r="C8">
        <v>2.8181818181818183</v>
      </c>
      <c r="D8">
        <v>12.416666666666666</v>
      </c>
    </row>
    <row r="9" spans="1:4" x14ac:dyDescent="0.35">
      <c r="A9" s="6" t="s">
        <v>71</v>
      </c>
      <c r="B9">
        <v>28</v>
      </c>
      <c r="C9">
        <v>2.3333333333333335</v>
      </c>
      <c r="D9">
        <v>11.52</v>
      </c>
    </row>
    <row r="10" spans="1:4" x14ac:dyDescent="0.35">
      <c r="A10" s="6" t="s">
        <v>284</v>
      </c>
      <c r="B10">
        <v>150</v>
      </c>
      <c r="C10">
        <v>2.8135593220338984</v>
      </c>
      <c r="D10">
        <v>15.585714285714285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40AB-E5A9-4560-B1B9-CB2478EFF776}">
  <dimension ref="A3:B7"/>
  <sheetViews>
    <sheetView workbookViewId="0">
      <selection activeCell="D10" sqref="D10"/>
    </sheetView>
  </sheetViews>
  <sheetFormatPr defaultRowHeight="14.5" x14ac:dyDescent="0.35"/>
  <cols>
    <col min="1" max="1" width="12.36328125" bestFit="1" customWidth="1"/>
    <col min="2" max="2" width="16.453125" bestFit="1" customWidth="1"/>
  </cols>
  <sheetData>
    <row r="3" spans="1:2" x14ac:dyDescent="0.35">
      <c r="A3" s="5" t="s">
        <v>9</v>
      </c>
      <c r="B3" t="s">
        <v>285</v>
      </c>
    </row>
    <row r="4" spans="1:2" x14ac:dyDescent="0.35">
      <c r="A4" s="6" t="s">
        <v>30</v>
      </c>
      <c r="B4">
        <v>34</v>
      </c>
    </row>
    <row r="5" spans="1:2" x14ac:dyDescent="0.35">
      <c r="A5" s="6" t="s">
        <v>52</v>
      </c>
      <c r="B5">
        <v>29</v>
      </c>
    </row>
    <row r="6" spans="1:2" x14ac:dyDescent="0.35">
      <c r="A6" s="6" t="s">
        <v>22</v>
      </c>
      <c r="B6">
        <v>86</v>
      </c>
    </row>
    <row r="7" spans="1:2" x14ac:dyDescent="0.35">
      <c r="A7" s="6" t="s">
        <v>284</v>
      </c>
      <c r="B7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2A20-1F78-4C8D-9284-1324C35CB3C9}">
  <dimension ref="A3:B8"/>
  <sheetViews>
    <sheetView workbookViewId="0">
      <selection activeCell="E11" sqref="E11"/>
    </sheetView>
  </sheetViews>
  <sheetFormatPr defaultRowHeight="14.5" x14ac:dyDescent="0.35"/>
  <cols>
    <col min="1" max="1" width="12.36328125" bestFit="1" customWidth="1"/>
    <col min="2" max="2" width="17.90625" bestFit="1" customWidth="1"/>
  </cols>
  <sheetData>
    <row r="3" spans="1:2" x14ac:dyDescent="0.35">
      <c r="A3" s="5" t="s">
        <v>263</v>
      </c>
      <c r="B3" t="s">
        <v>286</v>
      </c>
    </row>
    <row r="4" spans="1:2" x14ac:dyDescent="0.35">
      <c r="A4" s="6" t="s">
        <v>277</v>
      </c>
      <c r="B4">
        <v>6</v>
      </c>
    </row>
    <row r="5" spans="1:2" x14ac:dyDescent="0.35">
      <c r="A5" s="6" t="s">
        <v>269</v>
      </c>
      <c r="B5">
        <v>63</v>
      </c>
    </row>
    <row r="6" spans="1:2" x14ac:dyDescent="0.35">
      <c r="A6" s="6" t="s">
        <v>282</v>
      </c>
      <c r="B6">
        <v>28</v>
      </c>
    </row>
    <row r="7" spans="1:2" x14ac:dyDescent="0.35">
      <c r="A7" s="6" t="s">
        <v>281</v>
      </c>
      <c r="B7">
        <v>53</v>
      </c>
    </row>
    <row r="8" spans="1:2" x14ac:dyDescent="0.35">
      <c r="A8" s="6" t="s">
        <v>284</v>
      </c>
      <c r="B8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C7D8-49F4-421F-AAB2-4334F2D3D090}">
  <dimension ref="A3:C11"/>
  <sheetViews>
    <sheetView workbookViewId="0">
      <selection activeCell="B5" sqref="B5"/>
    </sheetView>
  </sheetViews>
  <sheetFormatPr defaultRowHeight="14.5" x14ac:dyDescent="0.35"/>
  <cols>
    <col min="1" max="1" width="13.90625" bestFit="1" customWidth="1"/>
    <col min="2" max="2" width="15.26953125" bestFit="1" customWidth="1"/>
    <col min="3" max="3" width="10.7265625" bestFit="1" customWidth="1"/>
  </cols>
  <sheetData>
    <row r="3" spans="1:3" x14ac:dyDescent="0.35">
      <c r="A3" s="5" t="s">
        <v>287</v>
      </c>
      <c r="B3" s="5" t="s">
        <v>288</v>
      </c>
    </row>
    <row r="4" spans="1:3" x14ac:dyDescent="0.35">
      <c r="A4" s="5" t="s">
        <v>291</v>
      </c>
      <c r="B4">
        <v>2026</v>
      </c>
      <c r="C4" t="s">
        <v>284</v>
      </c>
    </row>
    <row r="5" spans="1:3" x14ac:dyDescent="0.35">
      <c r="A5" s="6" t="s">
        <v>274</v>
      </c>
      <c r="B5">
        <v>29</v>
      </c>
      <c r="C5">
        <v>29</v>
      </c>
    </row>
    <row r="6" spans="1:3" x14ac:dyDescent="0.35">
      <c r="A6" s="6" t="s">
        <v>271</v>
      </c>
      <c r="B6">
        <v>16</v>
      </c>
      <c r="C6">
        <v>16</v>
      </c>
    </row>
    <row r="7" spans="1:3" x14ac:dyDescent="0.35">
      <c r="A7" s="6" t="s">
        <v>270</v>
      </c>
      <c r="B7">
        <v>29</v>
      </c>
      <c r="C7">
        <v>29</v>
      </c>
    </row>
    <row r="8" spans="1:3" x14ac:dyDescent="0.35">
      <c r="A8" s="6" t="s">
        <v>275</v>
      </c>
      <c r="B8">
        <v>20</v>
      </c>
      <c r="C8">
        <v>20</v>
      </c>
    </row>
    <row r="9" spans="1:3" x14ac:dyDescent="0.35">
      <c r="A9" s="6" t="s">
        <v>273</v>
      </c>
      <c r="B9">
        <v>30</v>
      </c>
      <c r="C9">
        <v>30</v>
      </c>
    </row>
    <row r="10" spans="1:3" x14ac:dyDescent="0.35">
      <c r="A10" s="6" t="s">
        <v>272</v>
      </c>
      <c r="B10">
        <v>26</v>
      </c>
      <c r="C10">
        <v>26</v>
      </c>
    </row>
    <row r="11" spans="1:3" x14ac:dyDescent="0.35">
      <c r="A11" s="6" t="s">
        <v>284</v>
      </c>
      <c r="B11">
        <v>150</v>
      </c>
      <c r="C11">
        <v>150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DE09-BF52-4683-9A9C-EA17CD69880C}">
  <dimension ref="A1:B7"/>
  <sheetViews>
    <sheetView workbookViewId="0">
      <selection activeCell="K11" sqref="K11"/>
    </sheetView>
  </sheetViews>
  <sheetFormatPr defaultRowHeight="14.5" x14ac:dyDescent="0.35"/>
  <cols>
    <col min="1" max="1" width="27.1796875" customWidth="1"/>
  </cols>
  <sheetData>
    <row r="1" spans="1:2" x14ac:dyDescent="0.35">
      <c r="A1" t="s">
        <v>295</v>
      </c>
    </row>
    <row r="2" spans="1:2" x14ac:dyDescent="0.35">
      <c r="A2" t="s">
        <v>296</v>
      </c>
      <c r="B2">
        <f>COUNTA(Table1_2[Status])</f>
        <v>150</v>
      </c>
    </row>
    <row r="3" spans="1:2" x14ac:dyDescent="0.35">
      <c r="A3" t="s">
        <v>297</v>
      </c>
      <c r="B3">
        <f>COUNTIF(Table1_2[Status],"Resolved")</f>
        <v>87</v>
      </c>
    </row>
    <row r="4" spans="1:2" x14ac:dyDescent="0.35">
      <c r="A4" t="s">
        <v>298</v>
      </c>
      <c r="B4" s="8">
        <f>COUNTIF(Table1_2[SLA_Status],"SLA Met")/(COUNTIF(Table1_2[SLA_Status],"SLA Met")+COUNTIF(Table1_2[SLA_Status],"SLA Breached"))</f>
        <v>0.65432098765432101</v>
      </c>
    </row>
    <row r="5" spans="1:2" x14ac:dyDescent="0.35">
      <c r="A5" t="s">
        <v>299</v>
      </c>
      <c r="B5">
        <f>AVERAGE(Table1_2[Resolution_Hours])</f>
        <v>15.585714285714285</v>
      </c>
    </row>
    <row r="6" spans="1:2" x14ac:dyDescent="0.35">
      <c r="A6" t="s">
        <v>300</v>
      </c>
      <c r="B6">
        <f>AVERAGE(Table1_2[Customer_Rating])</f>
        <v>2.8135593220338984</v>
      </c>
    </row>
    <row r="7" spans="1:2" x14ac:dyDescent="0.35">
      <c r="A7" t="s">
        <v>301</v>
      </c>
      <c r="B7" s="7">
        <f>COUNTIF(Table1_2[Escalated],"Yes")/COUNTA(Table1_2[Status])</f>
        <v>0.28000000000000003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9C10E823-8E95-4874-A34C-80816CA52A30}">
  <ds:schemaRefs/>
</ds:datastoreItem>
</file>

<file path=customXml/itemProps2.xml><?xml version="1.0" encoding="utf-8"?>
<ds:datastoreItem xmlns:ds="http://schemas.openxmlformats.org/officeDocument/2006/customXml" ds:itemID="{BC58448D-B7FD-4853-9896-167FE1C1D096}">
  <ds:schemaRefs/>
</ds:datastoreItem>
</file>

<file path=customXml/itemProps3.xml><?xml version="1.0" encoding="utf-8"?>
<ds:datastoreItem xmlns:ds="http://schemas.openxmlformats.org/officeDocument/2006/customXml" ds:itemID="{645C504E-655D-47E2-A37F-FACD35688957}">
  <ds:schemaRefs/>
</ds:datastoreItem>
</file>

<file path=customXml/itemProps4.xml><?xml version="1.0" encoding="utf-8"?>
<ds:datastoreItem xmlns:ds="http://schemas.openxmlformats.org/officeDocument/2006/customXml" ds:itemID="{687C06C7-1E9E-4EB8-846F-50CD5119750D}">
  <ds:schemaRefs/>
</ds:datastoreItem>
</file>

<file path=customXml/itemProps5.xml><?xml version="1.0" encoding="utf-8"?>
<ds:datastoreItem xmlns:ds="http://schemas.openxmlformats.org/officeDocument/2006/customXml" ds:itemID="{38B85DEF-E2C6-4851-97E7-30DDA8CF7A32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0FB8F720-61E4-4A97-8494-BA89512DFE29}">
  <ds:schemaRefs/>
</ds:datastoreItem>
</file>

<file path=customXml/itemProps7.xml><?xml version="1.0" encoding="utf-8"?>
<ds:datastoreItem xmlns:ds="http://schemas.openxmlformats.org/officeDocument/2006/customXml" ds:itemID="{B65B69F6-0E36-42CC-83A0-62DAC02BFCAF}">
  <ds:schemaRefs/>
</ds:datastoreItem>
</file>

<file path=customXml/itemProps8.xml><?xml version="1.0" encoding="utf-8"?>
<ds:datastoreItem xmlns:ds="http://schemas.openxmlformats.org/officeDocument/2006/customXml" ds:itemID="{01444D4F-AD7A-4496-9E59-879462BB5EE9}">
  <ds:schemaRefs/>
</ds:datastoreItem>
</file>

<file path=customXml/itemProps9.xml><?xml version="1.0" encoding="utf-8"?>
<ds:datastoreItem xmlns:ds="http://schemas.openxmlformats.org/officeDocument/2006/customXml" ds:itemID="{4B90694B-CDDC-4697-8737-A95BD3D1806D}">
  <ds:schemaRefs/>
</ds:datastoreItem>
</file>

<file path=customXml/itemProps10.xml><?xml version="1.0" encoding="utf-8"?>
<ds:datastoreItem xmlns:ds="http://schemas.openxmlformats.org/officeDocument/2006/customXml" ds:itemID="{7ACFEC08-EC3F-4C01-8DCC-8A9D2A79FD05}">
  <ds:schemaRefs/>
</ds:datastoreItem>
</file>

<file path=customXml/itemProps11.xml><?xml version="1.0" encoding="utf-8"?>
<ds:datastoreItem xmlns:ds="http://schemas.openxmlformats.org/officeDocument/2006/customXml" ds:itemID="{4617532B-3BF1-4F47-A448-BDEB1B86367D}">
  <ds:schemaRefs/>
</ds:datastoreItem>
</file>

<file path=customXml/itemProps12.xml><?xml version="1.0" encoding="utf-8"?>
<ds:datastoreItem xmlns:ds="http://schemas.openxmlformats.org/officeDocument/2006/customXml" ds:itemID="{E7C1F326-46B1-43E1-A643-9E1ABA61ABCA}">
  <ds:schemaRefs/>
</ds:datastoreItem>
</file>

<file path=customXml/itemProps13.xml><?xml version="1.0" encoding="utf-8"?>
<ds:datastoreItem xmlns:ds="http://schemas.openxmlformats.org/officeDocument/2006/customXml" ds:itemID="{15FD3086-2C8C-43B0-A56B-8C6F09B8130C}">
  <ds:schemaRefs/>
</ds:datastoreItem>
</file>

<file path=customXml/itemProps14.xml><?xml version="1.0" encoding="utf-8"?>
<ds:datastoreItem xmlns:ds="http://schemas.openxmlformats.org/officeDocument/2006/customXml" ds:itemID="{1AF490AF-941E-4171-B2EA-E480C689F009}">
  <ds:schemaRefs/>
</ds:datastoreItem>
</file>

<file path=customXml/itemProps15.xml><?xml version="1.0" encoding="utf-8"?>
<ds:datastoreItem xmlns:ds="http://schemas.openxmlformats.org/officeDocument/2006/customXml" ds:itemID="{5F359C75-844E-487C-AC73-64F5FA90271D}">
  <ds:schemaRefs/>
</ds:datastoreItem>
</file>

<file path=customXml/itemProps16.xml><?xml version="1.0" encoding="utf-8"?>
<ds:datastoreItem xmlns:ds="http://schemas.openxmlformats.org/officeDocument/2006/customXml" ds:itemID="{8DD2476C-6D77-440B-87AE-8B261D314BDF}">
  <ds:schemaRefs/>
</ds:datastoreItem>
</file>

<file path=customXml/itemProps17.xml><?xml version="1.0" encoding="utf-8"?>
<ds:datastoreItem xmlns:ds="http://schemas.openxmlformats.org/officeDocument/2006/customXml" ds:itemID="{060D0332-B083-41A1-8A28-BE56CB72D12C}">
  <ds:schemaRefs/>
</ds:datastoreItem>
</file>

<file path=customXml/itemProps18.xml><?xml version="1.0" encoding="utf-8"?>
<ds:datastoreItem xmlns:ds="http://schemas.openxmlformats.org/officeDocument/2006/customXml" ds:itemID="{CFCE0C38-FCD9-4149-AEC8-A4D5952A3E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Raw_Tickets</vt:lpstr>
      <vt:lpstr>Table1</vt:lpstr>
      <vt:lpstr>Escalations</vt:lpstr>
      <vt:lpstr>Customer Satisfaction</vt:lpstr>
      <vt:lpstr>Regional Performance</vt:lpstr>
      <vt:lpstr>Department Performance</vt:lpstr>
      <vt:lpstr>Agent Performance</vt:lpstr>
      <vt:lpstr>Pt_Ticket_Status</vt:lpstr>
      <vt:lpstr>pt_SLA_Status</vt:lpstr>
      <vt:lpstr>pt_Monthly_Tickets</vt:lpstr>
      <vt:lpstr>Customer Support 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2026-08-08T16:20:09Z</dcterms:created>
  <dcterms:modified xsi:type="dcterms:W3CDTF">2026-08-12T14:42:54Z</dcterms:modified>
</cp:coreProperties>
</file>